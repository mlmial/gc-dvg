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afs\mpi-magdeburg.mpg.de\data\bpt\personnel_folders\LarsPelz\PhD\Results\01_Semi-Conti\SC1,2,3\"/>
    </mc:Choice>
  </mc:AlternateContent>
  <bookViews>
    <workbookView xWindow="-105" yWindow="-105" windowWidth="19425" windowHeight="10425"/>
  </bookViews>
  <sheets>
    <sheet name="General Parameters" sheetId="1" r:id="rId1"/>
    <sheet name="Cells" sheetId="14" r:id="rId2"/>
    <sheet name="MOI" sheetId="15" r:id="rId3"/>
    <sheet name="Virus" sheetId="8" r:id="rId4"/>
    <sheet name="Estimates" sheetId="2" r:id="rId5"/>
  </sheets>
  <definedNames>
    <definedName name="_xlnm.Print_Area" localSheetId="0">'General Parameters'!$A$1:$AT$102</definedName>
  </definedNames>
  <calcPr calcId="162913"/>
</workbook>
</file>

<file path=xl/calcChain.xml><?xml version="1.0" encoding="utf-8"?>
<calcChain xmlns="http://schemas.openxmlformats.org/spreadsheetml/2006/main">
  <c r="M65" i="1" l="1"/>
  <c r="M64" i="1"/>
  <c r="AV14" i="1" l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13" i="1"/>
  <c r="AL61" i="1" l="1"/>
  <c r="E61" i="1"/>
  <c r="F61" i="1"/>
  <c r="AW61" i="1" s="1"/>
  <c r="AF61" i="1"/>
  <c r="W61" i="1"/>
  <c r="T61" i="1"/>
  <c r="P61" i="1"/>
  <c r="M61" i="1"/>
  <c r="AO60" i="1"/>
  <c r="AL60" i="1"/>
  <c r="AI60" i="1"/>
  <c r="AF60" i="1"/>
  <c r="W60" i="1"/>
  <c r="T60" i="1"/>
  <c r="P60" i="1"/>
  <c r="M60" i="1"/>
  <c r="E60" i="1" l="1"/>
  <c r="F60" i="1" s="1"/>
  <c r="AW60" i="1" s="1"/>
  <c r="AO59" i="1" l="1"/>
  <c r="AL59" i="1"/>
  <c r="AI59" i="1"/>
  <c r="AF59" i="1"/>
  <c r="W59" i="1"/>
  <c r="T59" i="1"/>
  <c r="P59" i="1"/>
  <c r="M59" i="1"/>
  <c r="AO58" i="1"/>
  <c r="AL58" i="1"/>
  <c r="AI58" i="1"/>
  <c r="AF58" i="1"/>
  <c r="W58" i="1"/>
  <c r="T58" i="1"/>
  <c r="P58" i="1"/>
  <c r="M58" i="1"/>
  <c r="AO57" i="1"/>
  <c r="AL57" i="1"/>
  <c r="AI57" i="1"/>
  <c r="AF57" i="1"/>
  <c r="W57" i="1"/>
  <c r="T57" i="1"/>
  <c r="P57" i="1"/>
  <c r="M57" i="1"/>
  <c r="AO56" i="1"/>
  <c r="AL56" i="1"/>
  <c r="AI56" i="1"/>
  <c r="AF56" i="1"/>
  <c r="W56" i="1"/>
  <c r="T56" i="1"/>
  <c r="P56" i="1"/>
  <c r="M56" i="1"/>
  <c r="E59" i="1" l="1"/>
  <c r="F59" i="1" s="1"/>
  <c r="AW59" i="1" s="1"/>
  <c r="E58" i="1" l="1"/>
  <c r="F58" i="1" s="1"/>
  <c r="AW58" i="1" s="1"/>
  <c r="E57" i="1" l="1"/>
  <c r="F57" i="1" s="1"/>
  <c r="AW57" i="1" s="1"/>
  <c r="E56" i="1" l="1"/>
  <c r="F56" i="1" s="1"/>
  <c r="AW56" i="1" s="1"/>
  <c r="AO55" i="1" l="1"/>
  <c r="AL55" i="1"/>
  <c r="AI55" i="1"/>
  <c r="AF55" i="1"/>
  <c r="W55" i="1"/>
  <c r="T55" i="1"/>
  <c r="P55" i="1"/>
  <c r="M55" i="1"/>
  <c r="AO54" i="1"/>
  <c r="AL54" i="1"/>
  <c r="AI54" i="1"/>
  <c r="AF54" i="1"/>
  <c r="W54" i="1"/>
  <c r="T54" i="1"/>
  <c r="P54" i="1"/>
  <c r="M54" i="1"/>
  <c r="AO53" i="1"/>
  <c r="AL53" i="1"/>
  <c r="AI53" i="1"/>
  <c r="AF53" i="1"/>
  <c r="W53" i="1"/>
  <c r="T53" i="1"/>
  <c r="P53" i="1"/>
  <c r="M53" i="1"/>
  <c r="AO52" i="1"/>
  <c r="AL52" i="1"/>
  <c r="AI52" i="1"/>
  <c r="AF52" i="1"/>
  <c r="W52" i="1"/>
  <c r="T52" i="1"/>
  <c r="P52" i="1"/>
  <c r="M52" i="1"/>
  <c r="AO51" i="1"/>
  <c r="AL51" i="1"/>
  <c r="AI51" i="1"/>
  <c r="AF51" i="1"/>
  <c r="W51" i="1"/>
  <c r="T51" i="1"/>
  <c r="P51" i="1"/>
  <c r="M51" i="1"/>
  <c r="AO50" i="1"/>
  <c r="AL50" i="1"/>
  <c r="AI50" i="1"/>
  <c r="AF50" i="1"/>
  <c r="W50" i="1"/>
  <c r="T50" i="1"/>
  <c r="P50" i="1"/>
  <c r="M50" i="1"/>
  <c r="AO49" i="1"/>
  <c r="AL49" i="1"/>
  <c r="AI49" i="1"/>
  <c r="AF49" i="1"/>
  <c r="W49" i="1"/>
  <c r="T49" i="1"/>
  <c r="P49" i="1"/>
  <c r="M49" i="1"/>
  <c r="AO48" i="1"/>
  <c r="AL48" i="1"/>
  <c r="AI48" i="1"/>
  <c r="AF48" i="1"/>
  <c r="AO47" i="1"/>
  <c r="AL47" i="1"/>
  <c r="AI47" i="1"/>
  <c r="AF47" i="1"/>
  <c r="AO46" i="1"/>
  <c r="AL46" i="1"/>
  <c r="AI46" i="1"/>
  <c r="AF46" i="1"/>
  <c r="AO45" i="1"/>
  <c r="AL45" i="1"/>
  <c r="AI45" i="1"/>
  <c r="AF45" i="1"/>
  <c r="E55" i="1" l="1"/>
  <c r="F55" i="1" s="1"/>
  <c r="AW55" i="1" s="1"/>
  <c r="E54" i="1" l="1"/>
  <c r="F54" i="1" s="1"/>
  <c r="AW54" i="1" s="1"/>
  <c r="E53" i="1" l="1"/>
  <c r="F53" i="1" s="1"/>
  <c r="AW53" i="1" s="1"/>
  <c r="E52" i="1" l="1"/>
  <c r="F52" i="1" s="1"/>
  <c r="AW52" i="1" s="1"/>
  <c r="E51" i="1" l="1"/>
  <c r="F51" i="1" s="1"/>
  <c r="AW51" i="1" s="1"/>
  <c r="E50" i="1" l="1"/>
  <c r="F50" i="1" s="1"/>
  <c r="AW50" i="1" s="1"/>
  <c r="B48" i="2" l="1"/>
  <c r="B49" i="2"/>
  <c r="B50" i="2"/>
  <c r="B51" i="2"/>
  <c r="B52" i="2"/>
  <c r="B53" i="2"/>
  <c r="B54" i="2"/>
  <c r="B55" i="2"/>
  <c r="B56" i="2"/>
  <c r="B57" i="2"/>
  <c r="B58" i="2"/>
  <c r="B59" i="2"/>
  <c r="B60" i="2"/>
  <c r="E49" i="1"/>
  <c r="F49" i="1" s="1"/>
  <c r="AW49" i="1" s="1"/>
  <c r="B41" i="2" l="1"/>
  <c r="B42" i="2"/>
  <c r="B43" i="2"/>
  <c r="B44" i="2"/>
  <c r="B45" i="2"/>
  <c r="B46" i="2"/>
  <c r="B47" i="2"/>
  <c r="L21" i="2" l="1"/>
  <c r="B20" i="2" l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E19" i="1" l="1"/>
  <c r="F19" i="1" s="1"/>
  <c r="AW19" i="1" s="1"/>
  <c r="E20" i="1"/>
  <c r="F20" i="1" s="1"/>
  <c r="AW20" i="1" s="1"/>
  <c r="E21" i="1"/>
  <c r="F21" i="1" s="1"/>
  <c r="AW21" i="1" s="1"/>
  <c r="E22" i="1"/>
  <c r="F22" i="1" s="1"/>
  <c r="AW22" i="1" s="1"/>
  <c r="E23" i="1"/>
  <c r="F23" i="1" s="1"/>
  <c r="AW23" i="1" s="1"/>
  <c r="E24" i="1"/>
  <c r="F24" i="1" s="1"/>
  <c r="AW24" i="1" s="1"/>
  <c r="E25" i="1"/>
  <c r="F25" i="1" s="1"/>
  <c r="AW25" i="1" s="1"/>
  <c r="E26" i="1"/>
  <c r="F26" i="1" s="1"/>
  <c r="AW26" i="1" s="1"/>
  <c r="E27" i="1"/>
  <c r="F27" i="1" s="1"/>
  <c r="AW27" i="1" s="1"/>
  <c r="E28" i="1"/>
  <c r="F28" i="1" s="1"/>
  <c r="AW28" i="1" s="1"/>
  <c r="E29" i="1"/>
  <c r="F29" i="1" s="1"/>
  <c r="AW29" i="1" s="1"/>
  <c r="E30" i="1"/>
  <c r="F30" i="1" s="1"/>
  <c r="AW30" i="1" s="1"/>
  <c r="E31" i="1"/>
  <c r="F31" i="1" s="1"/>
  <c r="AW31" i="1" s="1"/>
  <c r="E32" i="1"/>
  <c r="F32" i="1" s="1"/>
  <c r="AW32" i="1" s="1"/>
  <c r="E33" i="1"/>
  <c r="F33" i="1" s="1"/>
  <c r="AW33" i="1" s="1"/>
  <c r="E34" i="1"/>
  <c r="F34" i="1" s="1"/>
  <c r="AW34" i="1" s="1"/>
  <c r="E35" i="1"/>
  <c r="F35" i="1" s="1"/>
  <c r="AW35" i="1" s="1"/>
  <c r="E36" i="1"/>
  <c r="F36" i="1" s="1"/>
  <c r="AW36" i="1" s="1"/>
  <c r="E37" i="1"/>
  <c r="F37" i="1" s="1"/>
  <c r="AW37" i="1" s="1"/>
  <c r="E38" i="1"/>
  <c r="F38" i="1" s="1"/>
  <c r="AW38" i="1" s="1"/>
  <c r="E39" i="1"/>
  <c r="F39" i="1" s="1"/>
  <c r="AW39" i="1" s="1"/>
  <c r="E40" i="1"/>
  <c r="F40" i="1" s="1"/>
  <c r="AW40" i="1" s="1"/>
  <c r="E41" i="1"/>
  <c r="F41" i="1" s="1"/>
  <c r="AW41" i="1" s="1"/>
  <c r="E42" i="1"/>
  <c r="F42" i="1" s="1"/>
  <c r="AW42" i="1" s="1"/>
  <c r="E43" i="1"/>
  <c r="F43" i="1" s="1"/>
  <c r="AW43" i="1" s="1"/>
  <c r="E44" i="1"/>
  <c r="F44" i="1" s="1"/>
  <c r="AW44" i="1" s="1"/>
  <c r="E45" i="1"/>
  <c r="F45" i="1" s="1"/>
  <c r="AW45" i="1" s="1"/>
  <c r="E46" i="1"/>
  <c r="F46" i="1" s="1"/>
  <c r="AW46" i="1" s="1"/>
  <c r="E47" i="1"/>
  <c r="F47" i="1" s="1"/>
  <c r="AW47" i="1" s="1"/>
  <c r="E48" i="1"/>
  <c r="F48" i="1" s="1"/>
  <c r="AW48" i="1" s="1"/>
  <c r="E13" i="1"/>
  <c r="F13" i="1" s="1"/>
  <c r="AW13" i="1" s="1"/>
  <c r="E14" i="1"/>
  <c r="F14" i="1" s="1"/>
  <c r="AW14" i="1" s="1"/>
  <c r="E15" i="1"/>
  <c r="F15" i="1" s="1"/>
  <c r="AW15" i="1" s="1"/>
  <c r="E16" i="1"/>
  <c r="F16" i="1" s="1"/>
  <c r="AW16" i="1" s="1"/>
  <c r="E17" i="1"/>
  <c r="F17" i="1" s="1"/>
  <c r="AW17" i="1" s="1"/>
  <c r="E18" i="1"/>
  <c r="AO14" i="1" l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13" i="1"/>
  <c r="L28" i="2" l="1"/>
  <c r="L20" i="2" l="1"/>
  <c r="B14" i="2" l="1"/>
  <c r="B15" i="2"/>
  <c r="B16" i="2"/>
  <c r="B17" i="2"/>
  <c r="B18" i="2"/>
  <c r="B19" i="2"/>
  <c r="B12" i="2" l="1"/>
  <c r="B13" i="2"/>
  <c r="D13" i="1" l="1"/>
  <c r="C14" i="1" l="1"/>
  <c r="D14" i="1" l="1"/>
  <c r="P48" i="1"/>
  <c r="M48" i="1"/>
  <c r="P47" i="1"/>
  <c r="M47" i="1"/>
  <c r="P46" i="1"/>
  <c r="M46" i="1"/>
  <c r="P45" i="1"/>
  <c r="T47" i="1"/>
  <c r="W47" i="1"/>
  <c r="T48" i="1"/>
  <c r="W48" i="1"/>
  <c r="P44" i="1" l="1"/>
  <c r="P43" i="1"/>
  <c r="P42" i="1" l="1"/>
  <c r="P41" i="1"/>
  <c r="W40" i="1"/>
  <c r="W41" i="1"/>
  <c r="W42" i="1"/>
  <c r="W43" i="1"/>
  <c r="W44" i="1"/>
  <c r="W45" i="1"/>
  <c r="W46" i="1"/>
  <c r="T40" i="1"/>
  <c r="T41" i="1"/>
  <c r="T42" i="1"/>
  <c r="T43" i="1"/>
  <c r="T44" i="1"/>
  <c r="T45" i="1"/>
  <c r="T46" i="1"/>
  <c r="P40" i="1"/>
  <c r="M40" i="1"/>
  <c r="M41" i="1"/>
  <c r="M42" i="1"/>
  <c r="M43" i="1"/>
  <c r="M44" i="1"/>
  <c r="M45" i="1"/>
  <c r="W39" i="1" l="1"/>
  <c r="T39" i="1"/>
  <c r="P39" i="1"/>
  <c r="M39" i="1"/>
  <c r="M27" i="1" l="1"/>
  <c r="L29" i="2" l="1"/>
  <c r="L30" i="2" s="1"/>
  <c r="C15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G13" i="2" l="1"/>
  <c r="I13" i="2" s="1"/>
  <c r="H13" i="2"/>
  <c r="D15" i="1"/>
  <c r="O33" i="2" l="1"/>
  <c r="M19" i="1"/>
  <c r="M20" i="1"/>
  <c r="M21" i="1"/>
  <c r="M22" i="1"/>
  <c r="M23" i="1"/>
  <c r="M24" i="1"/>
  <c r="M25" i="1"/>
  <c r="M26" i="1"/>
  <c r="M28" i="1"/>
  <c r="M29" i="1"/>
  <c r="M30" i="1"/>
  <c r="M31" i="1"/>
  <c r="M32" i="1"/>
  <c r="M33" i="1"/>
  <c r="M34" i="1"/>
  <c r="M35" i="1"/>
  <c r="M36" i="1"/>
  <c r="M37" i="1"/>
  <c r="M3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P14" i="1"/>
  <c r="P15" i="1"/>
  <c r="P16" i="1"/>
  <c r="P17" i="1"/>
  <c r="P18" i="1"/>
  <c r="M14" i="1"/>
  <c r="M15" i="1"/>
  <c r="M16" i="1"/>
  <c r="M17" i="1"/>
  <c r="M18" i="1"/>
  <c r="W13" i="1"/>
  <c r="T13" i="1"/>
  <c r="M13" i="1"/>
  <c r="Q13" i="1" s="1"/>
  <c r="H14" i="2" l="1"/>
  <c r="G14" i="2"/>
  <c r="I14" i="2" s="1"/>
  <c r="Q14" i="1"/>
  <c r="Q15" i="1"/>
  <c r="R24" i="2"/>
  <c r="K23" i="2" s="1"/>
  <c r="G15" i="2" l="1"/>
  <c r="I15" i="2" s="1"/>
  <c r="H15" i="2"/>
  <c r="C16" i="2"/>
  <c r="G16" i="2" l="1"/>
  <c r="I16" i="2" s="1"/>
  <c r="H16" i="2"/>
  <c r="C17" i="2"/>
  <c r="H17" i="2" l="1"/>
  <c r="G17" i="2"/>
  <c r="I17" i="2" s="1"/>
  <c r="C18" i="2"/>
  <c r="G18" i="2" l="1"/>
  <c r="I18" i="2" s="1"/>
  <c r="H18" i="2"/>
  <c r="C19" i="2"/>
  <c r="G19" i="2" l="1"/>
  <c r="I19" i="2" s="1"/>
  <c r="H19" i="2"/>
  <c r="C20" i="2"/>
  <c r="G20" i="2" l="1"/>
  <c r="I20" i="2" s="1"/>
  <c r="H20" i="2"/>
  <c r="C21" i="2"/>
  <c r="L31" i="2"/>
  <c r="F20" i="2" l="1"/>
  <c r="F13" i="2"/>
  <c r="F14" i="2"/>
  <c r="F15" i="2"/>
  <c r="F16" i="2"/>
  <c r="F17" i="2"/>
  <c r="F18" i="2"/>
  <c r="F19" i="2"/>
  <c r="F21" i="2"/>
  <c r="G21" i="2"/>
  <c r="I21" i="2" s="1"/>
  <c r="H21" i="2"/>
  <c r="C22" i="2"/>
  <c r="L26" i="2"/>
  <c r="O23" i="2" s="1"/>
  <c r="R25" i="2"/>
  <c r="F22" i="2" l="1"/>
  <c r="G22" i="2"/>
  <c r="I22" i="2" s="1"/>
  <c r="H22" i="2"/>
  <c r="C23" i="2"/>
  <c r="C16" i="1"/>
  <c r="F23" i="2" l="1"/>
  <c r="G23" i="2"/>
  <c r="I23" i="2" s="1"/>
  <c r="H23" i="2"/>
  <c r="C24" i="2"/>
  <c r="D16" i="1"/>
  <c r="Q16" i="1"/>
  <c r="C17" i="1"/>
  <c r="F24" i="2" l="1"/>
  <c r="G24" i="2"/>
  <c r="I24" i="2" s="1"/>
  <c r="H24" i="2"/>
  <c r="C25" i="2"/>
  <c r="D17" i="1"/>
  <c r="Q17" i="1"/>
  <c r="C18" i="1"/>
  <c r="Q18" i="1" s="1"/>
  <c r="G25" i="2" l="1"/>
  <c r="I25" i="2" s="1"/>
  <c r="H25" i="2"/>
  <c r="F25" i="2"/>
  <c r="C26" i="2"/>
  <c r="F18" i="1"/>
  <c r="AW18" i="1" s="1"/>
  <c r="D18" i="1"/>
  <c r="C19" i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l="1"/>
  <c r="D49" i="1"/>
  <c r="Q49" i="1"/>
  <c r="H26" i="2"/>
  <c r="F26" i="2"/>
  <c r="G26" i="2"/>
  <c r="I26" i="2" s="1"/>
  <c r="C27" i="2"/>
  <c r="D19" i="1"/>
  <c r="Q19" i="1"/>
  <c r="D50" i="1" l="1"/>
  <c r="C51" i="1"/>
  <c r="Q50" i="1"/>
  <c r="G27" i="2"/>
  <c r="I27" i="2" s="1"/>
  <c r="H27" i="2"/>
  <c r="F27" i="2"/>
  <c r="C28" i="2"/>
  <c r="D20" i="1"/>
  <c r="Q20" i="1"/>
  <c r="Q51" i="1" l="1"/>
  <c r="C52" i="1"/>
  <c r="D51" i="1"/>
  <c r="F28" i="2"/>
  <c r="G28" i="2"/>
  <c r="I28" i="2" s="1"/>
  <c r="H28" i="2"/>
  <c r="C29" i="2"/>
  <c r="D21" i="1"/>
  <c r="Q21" i="1"/>
  <c r="Q52" i="1" l="1"/>
  <c r="D52" i="1"/>
  <c r="C53" i="1"/>
  <c r="G29" i="2"/>
  <c r="I29" i="2" s="1"/>
  <c r="H29" i="2"/>
  <c r="F29" i="2"/>
  <c r="C30" i="2"/>
  <c r="D22" i="1"/>
  <c r="Q22" i="1"/>
  <c r="C54" i="1" l="1"/>
  <c r="D53" i="1"/>
  <c r="Q53" i="1"/>
  <c r="F30" i="2"/>
  <c r="G30" i="2"/>
  <c r="I30" i="2" s="1"/>
  <c r="H30" i="2"/>
  <c r="C31" i="2"/>
  <c r="D23" i="1"/>
  <c r="Q23" i="1"/>
  <c r="D54" i="1" l="1"/>
  <c r="C55" i="1"/>
  <c r="Q54" i="1"/>
  <c r="F31" i="2"/>
  <c r="G31" i="2"/>
  <c r="I31" i="2" s="1"/>
  <c r="H31" i="2"/>
  <c r="C32" i="2"/>
  <c r="D24" i="1"/>
  <c r="Q24" i="1"/>
  <c r="G7" i="1" s="1"/>
  <c r="C56" i="1" l="1"/>
  <c r="Q56" i="1" s="1"/>
  <c r="D55" i="1"/>
  <c r="Q55" i="1"/>
  <c r="F32" i="2"/>
  <c r="G32" i="2"/>
  <c r="I32" i="2" s="1"/>
  <c r="H32" i="2"/>
  <c r="C33" i="2"/>
  <c r="D25" i="1"/>
  <c r="Q25" i="1"/>
  <c r="D56" i="1" l="1"/>
  <c r="C57" i="1"/>
  <c r="Q57" i="1" s="1"/>
  <c r="G33" i="2"/>
  <c r="I33" i="2" s="1"/>
  <c r="H33" i="2"/>
  <c r="F33" i="2"/>
  <c r="C34" i="2"/>
  <c r="D26" i="1"/>
  <c r="Q26" i="1"/>
  <c r="D57" i="1" l="1"/>
  <c r="C58" i="1"/>
  <c r="Q58" i="1" s="1"/>
  <c r="F34" i="2"/>
  <c r="G34" i="2"/>
  <c r="I34" i="2" s="1"/>
  <c r="H34" i="2"/>
  <c r="C35" i="2"/>
  <c r="D27" i="1"/>
  <c r="Q27" i="1"/>
  <c r="C59" i="1" l="1"/>
  <c r="Q59" i="1" s="1"/>
  <c r="D58" i="1"/>
  <c r="H35" i="2"/>
  <c r="G35" i="2"/>
  <c r="I35" i="2" s="1"/>
  <c r="F35" i="2"/>
  <c r="C36" i="2"/>
  <c r="D28" i="1"/>
  <c r="Q28" i="1"/>
  <c r="D59" i="1" l="1"/>
  <c r="C60" i="1"/>
  <c r="Q60" i="1" s="1"/>
  <c r="G36" i="2"/>
  <c r="I36" i="2" s="1"/>
  <c r="H36" i="2"/>
  <c r="F36" i="2"/>
  <c r="C37" i="2"/>
  <c r="D29" i="1"/>
  <c r="Q29" i="1"/>
  <c r="D60" i="1" l="1"/>
  <c r="C61" i="1"/>
  <c r="F37" i="2"/>
  <c r="H37" i="2"/>
  <c r="G37" i="2"/>
  <c r="I37" i="2" s="1"/>
  <c r="C38" i="2"/>
  <c r="D30" i="1"/>
  <c r="Q30" i="1"/>
  <c r="D61" i="1" l="1"/>
  <c r="Q61" i="1"/>
  <c r="F38" i="2"/>
  <c r="H38" i="2"/>
  <c r="G38" i="2"/>
  <c r="I38" i="2" s="1"/>
  <c r="C39" i="2"/>
  <c r="D31" i="1"/>
  <c r="Q31" i="1"/>
  <c r="F39" i="2" l="1"/>
  <c r="G39" i="2"/>
  <c r="I39" i="2" s="1"/>
  <c r="H39" i="2"/>
  <c r="C40" i="2"/>
  <c r="C41" i="2" s="1"/>
  <c r="D32" i="1"/>
  <c r="Q32" i="1"/>
  <c r="F41" i="2" l="1"/>
  <c r="C42" i="2"/>
  <c r="H41" i="2"/>
  <c r="G41" i="2"/>
  <c r="I41" i="2" s="1"/>
  <c r="G40" i="2"/>
  <c r="I40" i="2" s="1"/>
  <c r="F40" i="2"/>
  <c r="H40" i="2"/>
  <c r="D33" i="1"/>
  <c r="Q33" i="1"/>
  <c r="C43" i="2" l="1"/>
  <c r="F42" i="2"/>
  <c r="G42" i="2"/>
  <c r="I42" i="2" s="1"/>
  <c r="H42" i="2"/>
  <c r="D34" i="1"/>
  <c r="Q34" i="1"/>
  <c r="C44" i="2" l="1"/>
  <c r="F43" i="2"/>
  <c r="G43" i="2"/>
  <c r="I43" i="2" s="1"/>
  <c r="H43" i="2"/>
  <c r="D35" i="1"/>
  <c r="Q35" i="1"/>
  <c r="C45" i="2" l="1"/>
  <c r="F44" i="2"/>
  <c r="H44" i="2"/>
  <c r="G44" i="2"/>
  <c r="I44" i="2" s="1"/>
  <c r="D36" i="1"/>
  <c r="Q36" i="1"/>
  <c r="F45" i="2" l="1"/>
  <c r="G45" i="2"/>
  <c r="I45" i="2" s="1"/>
  <c r="H45" i="2"/>
  <c r="C46" i="2"/>
  <c r="D37" i="1"/>
  <c r="Q37" i="1"/>
  <c r="H46" i="2" l="1"/>
  <c r="C47" i="2"/>
  <c r="G46" i="2"/>
  <c r="I46" i="2" s="1"/>
  <c r="F46" i="2"/>
  <c r="D38" i="1"/>
  <c r="Q38" i="1"/>
  <c r="C48" i="2" l="1"/>
  <c r="F47" i="2"/>
  <c r="G47" i="2"/>
  <c r="I47" i="2" s="1"/>
  <c r="H47" i="2"/>
  <c r="D39" i="1"/>
  <c r="Q39" i="1"/>
  <c r="G48" i="2" l="1"/>
  <c r="I48" i="2" s="1"/>
  <c r="F48" i="2"/>
  <c r="C49" i="2"/>
  <c r="H48" i="2"/>
  <c r="D40" i="1"/>
  <c r="Q40" i="1"/>
  <c r="F49" i="2" l="1"/>
  <c r="G49" i="2"/>
  <c r="I49" i="2" s="1"/>
  <c r="H49" i="2"/>
  <c r="C50" i="2"/>
  <c r="D41" i="1"/>
  <c r="D42" i="1"/>
  <c r="Q41" i="1"/>
  <c r="C51" i="2" l="1"/>
  <c r="G50" i="2"/>
  <c r="I50" i="2" s="1"/>
  <c r="H50" i="2"/>
  <c r="F50" i="2"/>
  <c r="Q43" i="1"/>
  <c r="Q42" i="1"/>
  <c r="F51" i="2" l="1"/>
  <c r="G51" i="2"/>
  <c r="I51" i="2" s="1"/>
  <c r="H51" i="2"/>
  <c r="C52" i="2"/>
  <c r="D43" i="1"/>
  <c r="G52" i="2" l="1"/>
  <c r="I52" i="2" s="1"/>
  <c r="H52" i="2"/>
  <c r="F52" i="2"/>
  <c r="C53" i="2"/>
  <c r="Q45" i="1"/>
  <c r="Q44" i="1"/>
  <c r="D44" i="1"/>
  <c r="F53" i="2" l="1"/>
  <c r="C54" i="2"/>
  <c r="G53" i="2"/>
  <c r="I53" i="2" s="1"/>
  <c r="H53" i="2"/>
  <c r="D45" i="1"/>
  <c r="D46" i="1"/>
  <c r="Q46" i="1"/>
  <c r="G54" i="2" l="1"/>
  <c r="I54" i="2" s="1"/>
  <c r="H54" i="2"/>
  <c r="F54" i="2"/>
  <c r="C55" i="2"/>
  <c r="D48" i="1"/>
  <c r="D47" i="1"/>
  <c r="Q47" i="1"/>
  <c r="Q48" i="1"/>
  <c r="F55" i="2" l="1"/>
  <c r="G55" i="2"/>
  <c r="I55" i="2" s="1"/>
  <c r="H55" i="2"/>
  <c r="C56" i="2"/>
  <c r="G56" i="2" l="1"/>
  <c r="I56" i="2" s="1"/>
  <c r="F56" i="2"/>
  <c r="C57" i="2"/>
  <c r="H56" i="2"/>
  <c r="F57" i="2" l="1"/>
  <c r="G57" i="2"/>
  <c r="I57" i="2" s="1"/>
  <c r="H57" i="2"/>
  <c r="C58" i="2"/>
  <c r="G58" i="2" l="1"/>
  <c r="I58" i="2" s="1"/>
  <c r="H58" i="2"/>
  <c r="F58" i="2"/>
  <c r="C59" i="2"/>
  <c r="F59" i="2" l="1"/>
  <c r="G59" i="2"/>
  <c r="I59" i="2" s="1"/>
  <c r="H59" i="2"/>
  <c r="C60" i="2"/>
  <c r="G60" i="2" l="1"/>
  <c r="I60" i="2" s="1"/>
  <c r="H60" i="2"/>
  <c r="F60" i="2"/>
</calcChain>
</file>

<file path=xl/sharedStrings.xml><?xml version="1.0" encoding="utf-8"?>
<sst xmlns="http://schemas.openxmlformats.org/spreadsheetml/2006/main" count="307" uniqueCount="180">
  <si>
    <t xml:space="preserve">Cells: </t>
  </si>
  <si>
    <t># Sample</t>
  </si>
  <si>
    <t xml:space="preserve">Time </t>
  </si>
  <si>
    <t>(d.m.y  h:m)</t>
  </si>
  <si>
    <t>(h)</t>
  </si>
  <si>
    <t>Experimenter</t>
  </si>
  <si>
    <t>%</t>
  </si>
  <si>
    <t>Gluc</t>
  </si>
  <si>
    <t>Lac</t>
  </si>
  <si>
    <t>Gln</t>
  </si>
  <si>
    <t>mmol/L</t>
  </si>
  <si>
    <t>Glu</t>
  </si>
  <si>
    <t>NH4+</t>
  </si>
  <si>
    <t>Comment</t>
  </si>
  <si>
    <t>pH off.</t>
  </si>
  <si>
    <t>min-1</t>
  </si>
  <si>
    <t>mL/min</t>
  </si>
  <si>
    <t>mm</t>
  </si>
  <si>
    <t>#</t>
  </si>
  <si>
    <r>
      <t>x10</t>
    </r>
    <r>
      <rPr>
        <vertAlign val="superscript"/>
        <sz val="6"/>
        <color theme="1"/>
        <rFont val="Arial"/>
        <family val="2"/>
      </rPr>
      <t>6</t>
    </r>
    <r>
      <rPr>
        <sz val="6"/>
        <color theme="1"/>
        <rFont val="Arial"/>
        <family val="2"/>
      </rPr>
      <t xml:space="preserve"> c/mL</t>
    </r>
  </si>
  <si>
    <t>mL</t>
  </si>
  <si>
    <t>Unit -&gt;</t>
  </si>
  <si>
    <t>h</t>
  </si>
  <si>
    <t>CB</t>
  </si>
  <si>
    <t>pH</t>
  </si>
  <si>
    <t>Cells bioreactor</t>
  </si>
  <si>
    <t>(h-1)</t>
  </si>
  <si>
    <t>Specific growth rate (used for calculations)</t>
  </si>
  <si>
    <t xml:space="preserve">Volume CB </t>
  </si>
  <si>
    <t>Volume VB</t>
  </si>
  <si>
    <t>Flow 1</t>
  </si>
  <si>
    <t>Flow 2</t>
  </si>
  <si>
    <t>Flow 3</t>
  </si>
  <si>
    <t>(coming from a mass balance considering that dilution rate of the overall process is equal to dilution rate of CB</t>
  </si>
  <si>
    <t>Flow 4</t>
  </si>
  <si>
    <t xml:space="preserve">Harvest Vol </t>
  </si>
  <si>
    <t>Transfer from CB to VB</t>
  </si>
  <si>
    <t>Fresh Med. to VB</t>
  </si>
  <si>
    <t>Fresh Med. to CB</t>
  </si>
  <si>
    <t>Infection</t>
  </si>
  <si>
    <t>(d p.i)</t>
  </si>
  <si>
    <t>Verweilzeit</t>
  </si>
  <si>
    <t>D</t>
  </si>
  <si>
    <t>V</t>
  </si>
  <si>
    <t>ml</t>
  </si>
  <si>
    <t>Dilution rate VB</t>
  </si>
  <si>
    <t>Dilution rate CB</t>
  </si>
  <si>
    <t>V4</t>
  </si>
  <si>
    <t>V2</t>
  </si>
  <si>
    <t>V1</t>
  </si>
  <si>
    <t>V3</t>
  </si>
  <si>
    <t>Duplicate 1</t>
  </si>
  <si>
    <t>Cell Shaker</t>
  </si>
  <si>
    <t>Passage number: X</t>
  </si>
  <si>
    <t>Gewicht</t>
  </si>
  <si>
    <t>g</t>
  </si>
  <si>
    <t>Time p.i</t>
  </si>
  <si>
    <t>d</t>
  </si>
  <si>
    <t>CELL BIOREACTOR</t>
  </si>
  <si>
    <t>PN0</t>
  </si>
  <si>
    <t>PN1</t>
  </si>
  <si>
    <t>PN2</t>
  </si>
  <si>
    <t>PN3</t>
  </si>
  <si>
    <t>PN4</t>
  </si>
  <si>
    <t>PN5</t>
  </si>
  <si>
    <t>PN6</t>
  </si>
  <si>
    <t>PN7</t>
  </si>
  <si>
    <t>PN8</t>
  </si>
  <si>
    <t>PN9</t>
  </si>
  <si>
    <t>PN10</t>
  </si>
  <si>
    <t>PN11</t>
  </si>
  <si>
    <t>PN12</t>
  </si>
  <si>
    <t>PN13</t>
  </si>
  <si>
    <t>PN14</t>
  </si>
  <si>
    <t>PN15</t>
  </si>
  <si>
    <t>PN16</t>
  </si>
  <si>
    <t>PN17</t>
  </si>
  <si>
    <t>PN18</t>
  </si>
  <si>
    <t>PN19</t>
  </si>
  <si>
    <t>PN20</t>
  </si>
  <si>
    <t>PN21</t>
  </si>
  <si>
    <t>PN22</t>
  </si>
  <si>
    <t>PN23</t>
  </si>
  <si>
    <t>PN24</t>
  </si>
  <si>
    <t>PN25</t>
  </si>
  <si>
    <t>PN26</t>
  </si>
  <si>
    <t>PN27</t>
  </si>
  <si>
    <t>PN28</t>
  </si>
  <si>
    <t>PN29</t>
  </si>
  <si>
    <t>PN30</t>
  </si>
  <si>
    <t>PN31</t>
  </si>
  <si>
    <t>PN32</t>
  </si>
  <si>
    <t>PN33</t>
  </si>
  <si>
    <t>Semi-continuous two-stage cultivation</t>
  </si>
  <si>
    <t>PN34</t>
  </si>
  <si>
    <t>PN35</t>
  </si>
  <si>
    <t>PN36</t>
  </si>
  <si>
    <t>PN37</t>
  </si>
  <si>
    <t>PN38</t>
  </si>
  <si>
    <t>PN39</t>
  </si>
  <si>
    <t>PN40</t>
  </si>
  <si>
    <t>PN41</t>
  </si>
  <si>
    <t>PN42</t>
  </si>
  <si>
    <t>PN43</t>
  </si>
  <si>
    <t>PN44</t>
  </si>
  <si>
    <t>PN45</t>
  </si>
  <si>
    <t>PN46</t>
  </si>
  <si>
    <t>PN47</t>
  </si>
  <si>
    <t>PN48</t>
  </si>
  <si>
    <t>PN49</t>
  </si>
  <si>
    <t>PN50</t>
  </si>
  <si>
    <t>PN51</t>
  </si>
  <si>
    <t>PN52</t>
  </si>
  <si>
    <t>PN53</t>
  </si>
  <si>
    <t>PN54</t>
  </si>
  <si>
    <t>PN55</t>
  </si>
  <si>
    <t>PN56</t>
  </si>
  <si>
    <t>PN57</t>
  </si>
  <si>
    <t>PN58</t>
  </si>
  <si>
    <t>PN59</t>
  </si>
  <si>
    <t>PN60</t>
  </si>
  <si>
    <t>PN61</t>
  </si>
  <si>
    <t>PN62</t>
  </si>
  <si>
    <t>PN63</t>
  </si>
  <si>
    <t>PN64</t>
  </si>
  <si>
    <t>PN65</t>
  </si>
  <si>
    <t>PN66</t>
  </si>
  <si>
    <t>PN67</t>
  </si>
  <si>
    <t>PN68</t>
  </si>
  <si>
    <t>PN69</t>
  </si>
  <si>
    <t>PN70</t>
  </si>
  <si>
    <t>PN71</t>
  </si>
  <si>
    <t>PN72</t>
  </si>
  <si>
    <t>PN73</t>
  </si>
  <si>
    <t>Viab. Cells1</t>
  </si>
  <si>
    <t>Viab. Cells2</t>
  </si>
  <si>
    <t>Total cells1</t>
  </si>
  <si>
    <t>Total cells2</t>
  </si>
  <si>
    <t>Viability 1</t>
  </si>
  <si>
    <t>Viability 2</t>
  </si>
  <si>
    <t>Size1</t>
  </si>
  <si>
    <t>Size2</t>
  </si>
  <si>
    <t>Av. Viab. Cells</t>
  </si>
  <si>
    <t>Av. Total cells</t>
  </si>
  <si>
    <t xml:space="preserve">Av. Viability </t>
  </si>
  <si>
    <t>Av. Size</t>
  </si>
  <si>
    <t>vRNA</t>
  </si>
  <si>
    <t>copies/mL</t>
  </si>
  <si>
    <t>Plaque*Vharvest</t>
  </si>
  <si>
    <t>PFU</t>
  </si>
  <si>
    <t>Time</t>
  </si>
  <si>
    <t>RT CB</t>
  </si>
  <si>
    <t>h-1</t>
  </si>
  <si>
    <t>µ</t>
  </si>
  <si>
    <t>Volume CB: 90 mL</t>
  </si>
  <si>
    <t>MDCKsus ECACC</t>
  </si>
  <si>
    <t>µset</t>
  </si>
  <si>
    <t>MOI E-1</t>
  </si>
  <si>
    <t>Virus bioreactor 3</t>
  </si>
  <si>
    <t>VB3</t>
  </si>
  <si>
    <t>Virus Bioreactor 1 22h</t>
  </si>
  <si>
    <t>Infection 9:02</t>
  </si>
  <si>
    <t>HA</t>
  </si>
  <si>
    <t>HA titer</t>
  </si>
  <si>
    <r>
      <t>log10(HA Units/100</t>
    </r>
    <r>
      <rPr>
        <sz val="6"/>
        <color theme="1"/>
        <rFont val="Calibri"/>
        <family val="2"/>
      </rPr>
      <t>µL)</t>
    </r>
  </si>
  <si>
    <t>virions/mL</t>
  </si>
  <si>
    <t>Plaque Assay</t>
  </si>
  <si>
    <t>PFU/mL</t>
  </si>
  <si>
    <t>&lt;E-2</t>
  </si>
  <si>
    <t>&lt; E-2</t>
  </si>
  <si>
    <t>TCID50</t>
  </si>
  <si>
    <t>TCID50/mL</t>
  </si>
  <si>
    <t>MOI</t>
  </si>
  <si>
    <t>Virus Input</t>
  </si>
  <si>
    <t>0.014 mL</t>
  </si>
  <si>
    <t>Seed virus</t>
  </si>
  <si>
    <t>Titer 0.9 E9 PFU/mL</t>
  </si>
  <si>
    <t>Trypsin</t>
  </si>
  <si>
    <t>20 U/mL</t>
  </si>
  <si>
    <t>IAV PR8/8/34 H1N1 DIP depleted, adapted for MDCKsus ECACC, Xeno, 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</si>
</sst>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theme="1"/>
      <name val="Arial"/>
      <family val="2"/>
    </font>
    <font>
      <vertAlign val="superscript"/>
      <sz val="6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6"/>
      <name val="Calibri"/>
      <family val="2"/>
      <scheme val="minor"/>
    </font>
    <font>
      <sz val="6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b/>
      <sz val="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5" fillId="0" borderId="1" xfId="0" applyFont="1" applyBorder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22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2" fontId="5" fillId="3" borderId="1" xfId="0" applyNumberFormat="1" applyFont="1" applyFill="1" applyBorder="1" applyAlignment="1">
      <alignment horizontal="left"/>
    </xf>
    <xf numFmtId="2" fontId="11" fillId="3" borderId="1" xfId="0" applyNumberFormat="1" applyFont="1" applyFill="1" applyBorder="1" applyAlignment="1">
      <alignment horizontal="left"/>
    </xf>
    <xf numFmtId="0" fontId="12" fillId="4" borderId="0" xfId="0" applyFont="1" applyFill="1"/>
    <xf numFmtId="0" fontId="0" fillId="4" borderId="0" xfId="0" applyFill="1"/>
    <xf numFmtId="0" fontId="9" fillId="4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/>
    </xf>
    <xf numFmtId="22" fontId="4" fillId="3" borderId="0" xfId="0" applyNumberFormat="1" applyFont="1" applyFill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1" fontId="5" fillId="3" borderId="1" xfId="0" applyNumberFormat="1" applyFont="1" applyFill="1" applyBorder="1" applyAlignment="1">
      <alignment horizontal="left"/>
    </xf>
    <xf numFmtId="2" fontId="5" fillId="3" borderId="0" xfId="0" applyNumberFormat="1" applyFont="1" applyFill="1" applyAlignment="1">
      <alignment horizontal="left"/>
    </xf>
    <xf numFmtId="11" fontId="13" fillId="3" borderId="1" xfId="0" applyNumberFormat="1" applyFont="1" applyFill="1" applyBorder="1"/>
    <xf numFmtId="0" fontId="6" fillId="2" borderId="18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left"/>
    </xf>
    <xf numFmtId="22" fontId="5" fillId="3" borderId="1" xfId="0" applyNumberFormat="1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left"/>
    </xf>
    <xf numFmtId="11" fontId="5" fillId="0" borderId="0" xfId="0" applyNumberFormat="1" applyFont="1" applyAlignment="1">
      <alignment horizontal="left"/>
    </xf>
    <xf numFmtId="0" fontId="1" fillId="4" borderId="0" xfId="0" applyFont="1" applyFill="1" applyAlignment="1">
      <alignment horizontal="left"/>
    </xf>
    <xf numFmtId="0" fontId="14" fillId="2" borderId="3" xfId="0" applyFont="1" applyFill="1" applyBorder="1" applyAlignment="1">
      <alignment horizontal="left" vertical="center" wrapText="1"/>
    </xf>
    <xf numFmtId="2" fontId="15" fillId="0" borderId="1" xfId="0" applyNumberFormat="1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165" fontId="4" fillId="3" borderId="0" xfId="0" applyNumberFormat="1" applyFont="1" applyFill="1" applyAlignment="1">
      <alignment horizontal="left"/>
    </xf>
    <xf numFmtId="22" fontId="5" fillId="4" borderId="1" xfId="0" applyNumberFormat="1" applyFont="1" applyFill="1" applyBorder="1" applyAlignment="1">
      <alignment horizontal="left"/>
    </xf>
    <xf numFmtId="2" fontId="5" fillId="4" borderId="1" xfId="0" applyNumberFormat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22" fontId="5" fillId="3" borderId="18" xfId="0" applyNumberFormat="1" applyFont="1" applyFill="1" applyBorder="1" applyAlignment="1">
      <alignment horizontal="left"/>
    </xf>
    <xf numFmtId="2" fontId="5" fillId="3" borderId="18" xfId="0" applyNumberFormat="1" applyFont="1" applyFill="1" applyBorder="1" applyAlignment="1">
      <alignment horizontal="left"/>
    </xf>
    <xf numFmtId="165" fontId="5" fillId="3" borderId="18" xfId="0" applyNumberFormat="1" applyFont="1" applyFill="1" applyBorder="1" applyAlignment="1">
      <alignment horizontal="left"/>
    </xf>
    <xf numFmtId="164" fontId="5" fillId="3" borderId="18" xfId="0" applyNumberFormat="1" applyFont="1" applyFill="1" applyBorder="1" applyAlignment="1">
      <alignment horizontal="left"/>
    </xf>
    <xf numFmtId="11" fontId="5" fillId="3" borderId="18" xfId="0" applyNumberFormat="1" applyFont="1" applyFill="1" applyBorder="1" applyAlignment="1">
      <alignment horizontal="left"/>
    </xf>
    <xf numFmtId="22" fontId="5" fillId="0" borderId="1" xfId="0" applyNumberFormat="1" applyFont="1" applyBorder="1" applyAlignment="1">
      <alignment horizontal="left"/>
    </xf>
    <xf numFmtId="11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" fontId="5" fillId="3" borderId="18" xfId="0" applyNumberFormat="1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1" fontId="13" fillId="0" borderId="1" xfId="0" applyNumberFormat="1" applyFont="1" applyBorder="1"/>
    <xf numFmtId="0" fontId="5" fillId="4" borderId="1" xfId="0" applyFont="1" applyFill="1" applyBorder="1" applyAlignment="1">
      <alignment horizontal="left"/>
    </xf>
    <xf numFmtId="2" fontId="5" fillId="3" borderId="1" xfId="0" applyNumberFormat="1" applyFont="1" applyFill="1" applyBorder="1"/>
    <xf numFmtId="11" fontId="5" fillId="4" borderId="1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center" wrapText="1"/>
    </xf>
    <xf numFmtId="11" fontId="16" fillId="3" borderId="1" xfId="0" applyNumberFormat="1" applyFont="1" applyFill="1" applyBorder="1" applyAlignment="1">
      <alignment horizontal="left"/>
    </xf>
    <xf numFmtId="11" fontId="17" fillId="3" borderId="1" xfId="0" applyNumberFormat="1" applyFont="1" applyFill="1" applyBorder="1" applyAlignment="1">
      <alignment horizontal="left"/>
    </xf>
    <xf numFmtId="11" fontId="5" fillId="0" borderId="1" xfId="0" applyNumberFormat="1" applyFont="1" applyFill="1" applyBorder="1" applyAlignment="1">
      <alignment horizontal="left"/>
    </xf>
    <xf numFmtId="2" fontId="5" fillId="0" borderId="0" xfId="0" applyNumberFormat="1" applyFont="1" applyAlignment="1">
      <alignment horizontal="left"/>
    </xf>
    <xf numFmtId="0" fontId="11" fillId="5" borderId="4" xfId="0" applyFont="1" applyFill="1" applyBorder="1" applyAlignment="1">
      <alignment horizontal="left"/>
    </xf>
    <xf numFmtId="0" fontId="11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2" fillId="0" borderId="9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15724004679961"/>
          <c:y val="0.11609981044036162"/>
          <c:w val="0.58148031791104504"/>
          <c:h val="0.689216608340624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'General Parameters'!$F$13:$F$61</c:f>
              <c:strCache>
                <c:ptCount val="49"/>
                <c:pt idx="0">
                  <c:v>-3.588888889</c:v>
                </c:pt>
                <c:pt idx="1">
                  <c:v>-2.574305556</c:v>
                </c:pt>
                <c:pt idx="2">
                  <c:v>-2.027777778</c:v>
                </c:pt>
                <c:pt idx="3">
                  <c:v>-1.563888889</c:v>
                </c:pt>
                <c:pt idx="4">
                  <c:v>-1.015972222</c:v>
                </c:pt>
                <c:pt idx="5">
                  <c:v>-0.498611111</c:v>
                </c:pt>
                <c:pt idx="6">
                  <c:v>-0.015277778</c:v>
                </c:pt>
                <c:pt idx="7">
                  <c:v>0.496527778</c:v>
                </c:pt>
                <c:pt idx="8">
                  <c:v>0.988888889</c:v>
                </c:pt>
                <c:pt idx="9">
                  <c:v>1.396527778</c:v>
                </c:pt>
                <c:pt idx="10">
                  <c:v>2.020138889</c:v>
                </c:pt>
                <c:pt idx="11">
                  <c:v>2.49375</c:v>
                </c:pt>
                <c:pt idx="12">
                  <c:v>2.952777778</c:v>
                </c:pt>
                <c:pt idx="13">
                  <c:v>3.459722222</c:v>
                </c:pt>
                <c:pt idx="14">
                  <c:v>4.003472222</c:v>
                </c:pt>
                <c:pt idx="15">
                  <c:v>4.470138889</c:v>
                </c:pt>
                <c:pt idx="16">
                  <c:v>5.004861111</c:v>
                </c:pt>
                <c:pt idx="17">
                  <c:v>5.475694444</c:v>
                </c:pt>
                <c:pt idx="18">
                  <c:v>5.993055556</c:v>
                </c:pt>
                <c:pt idx="19">
                  <c:v>6.489583333</c:v>
                </c:pt>
                <c:pt idx="20">
                  <c:v>6.963888889</c:v>
                </c:pt>
                <c:pt idx="21">
                  <c:v>7.415277778</c:v>
                </c:pt>
                <c:pt idx="22">
                  <c:v>7.953472222</c:v>
                </c:pt>
                <c:pt idx="23">
                  <c:v>8.415277778</c:v>
                </c:pt>
                <c:pt idx="24">
                  <c:v>8.963888889</c:v>
                </c:pt>
                <c:pt idx="25">
                  <c:v>9.419444444</c:v>
                </c:pt>
                <c:pt idx="26">
                  <c:v>9.966666667</c:v>
                </c:pt>
                <c:pt idx="27">
                  <c:v>10.42708333</c:v>
                </c:pt>
                <c:pt idx="28">
                  <c:v>10.96180556</c:v>
                </c:pt>
                <c:pt idx="29">
                  <c:v>11.42013889</c:v>
                </c:pt>
                <c:pt idx="30">
                  <c:v>11.97013889</c:v>
                </c:pt>
                <c:pt idx="31">
                  <c:v>12.43125</c:v>
                </c:pt>
                <c:pt idx="32">
                  <c:v>12.97291667</c:v>
                </c:pt>
                <c:pt idx="33">
                  <c:v>13.50069444</c:v>
                </c:pt>
                <c:pt idx="34">
                  <c:v>13.9875</c:v>
                </c:pt>
                <c:pt idx="35">
                  <c:v>14.43541667</c:v>
                </c:pt>
                <c:pt idx="36">
                  <c:v>14.97430556</c:v>
                </c:pt>
                <c:pt idx="37">
                  <c:v>15.44791667</c:v>
                </c:pt>
                <c:pt idx="38">
                  <c:v>16.01180556</c:v>
                </c:pt>
                <c:pt idx="39">
                  <c:v>16.48194444</c:v>
                </c:pt>
                <c:pt idx="40">
                  <c:v>16.96527778</c:v>
                </c:pt>
                <c:pt idx="41">
                  <c:v>17.44722222</c:v>
                </c:pt>
                <c:pt idx="42">
                  <c:v>18.00069444</c:v>
                </c:pt>
                <c:pt idx="43">
                  <c:v>18.44791667</c:v>
                </c:pt>
                <c:pt idx="44">
                  <c:v>18.98125</c:v>
                </c:pt>
                <c:pt idx="45">
                  <c:v>19.47638889</c:v>
                </c:pt>
                <c:pt idx="46">
                  <c:v>19.99097222</c:v>
                </c:pt>
                <c:pt idx="47">
                  <c:v>20.44375</c:v>
                </c:pt>
                <c:pt idx="48">
                  <c:v>20.99513889</c:v>
                </c:pt>
              </c:strCache>
            </c:strRef>
          </c:tx>
          <c:spPr>
            <a:ln w="12700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Parameters'!$M$13:$M$61</c:f>
              <c:numCache>
                <c:formatCode>0.00</c:formatCode>
                <c:ptCount val="49"/>
                <c:pt idx="0">
                  <c:v>0.54500000000000004</c:v>
                </c:pt>
                <c:pt idx="1">
                  <c:v>1.3250000000000002</c:v>
                </c:pt>
                <c:pt idx="2">
                  <c:v>2.08</c:v>
                </c:pt>
                <c:pt idx="3">
                  <c:v>3.0300000000000002</c:v>
                </c:pt>
                <c:pt idx="4">
                  <c:v>3.1</c:v>
                </c:pt>
                <c:pt idx="5">
                  <c:v>3.2349999999999999</c:v>
                </c:pt>
                <c:pt idx="6">
                  <c:v>2.9249999999999998</c:v>
                </c:pt>
                <c:pt idx="7">
                  <c:v>2.69</c:v>
                </c:pt>
                <c:pt idx="8">
                  <c:v>2.67</c:v>
                </c:pt>
                <c:pt idx="9">
                  <c:v>2.39</c:v>
                </c:pt>
                <c:pt idx="10">
                  <c:v>2.9299999999999997</c:v>
                </c:pt>
                <c:pt idx="11">
                  <c:v>2.4299999999999997</c:v>
                </c:pt>
                <c:pt idx="12">
                  <c:v>2.2549999999999999</c:v>
                </c:pt>
                <c:pt idx="13">
                  <c:v>2.41</c:v>
                </c:pt>
                <c:pt idx="14">
                  <c:v>2.7</c:v>
                </c:pt>
                <c:pt idx="15">
                  <c:v>2.2050000000000001</c:v>
                </c:pt>
                <c:pt idx="16">
                  <c:v>2.4849999999999999</c:v>
                </c:pt>
                <c:pt idx="17">
                  <c:v>2.5599999999999996</c:v>
                </c:pt>
                <c:pt idx="18">
                  <c:v>2.7949999999999999</c:v>
                </c:pt>
                <c:pt idx="19">
                  <c:v>2.605</c:v>
                </c:pt>
                <c:pt idx="20">
                  <c:v>2.6550000000000002</c:v>
                </c:pt>
                <c:pt idx="21">
                  <c:v>2.54</c:v>
                </c:pt>
                <c:pt idx="22">
                  <c:v>2.8200000000000003</c:v>
                </c:pt>
                <c:pt idx="23">
                  <c:v>2.41</c:v>
                </c:pt>
                <c:pt idx="24">
                  <c:v>2.5750000000000002</c:v>
                </c:pt>
                <c:pt idx="25">
                  <c:v>2.3600000000000003</c:v>
                </c:pt>
                <c:pt idx="26" formatCode="General">
                  <c:v>2.46</c:v>
                </c:pt>
                <c:pt idx="27" formatCode="General">
                  <c:v>2.17</c:v>
                </c:pt>
                <c:pt idx="28" formatCode="General">
                  <c:v>2.5</c:v>
                </c:pt>
                <c:pt idx="29" formatCode="General">
                  <c:v>2.3650000000000002</c:v>
                </c:pt>
                <c:pt idx="30" formatCode="General">
                  <c:v>2.4649999999999999</c:v>
                </c:pt>
                <c:pt idx="31" formatCode="General">
                  <c:v>2.37</c:v>
                </c:pt>
                <c:pt idx="32" formatCode="General">
                  <c:v>2.6500000000000004</c:v>
                </c:pt>
                <c:pt idx="33" formatCode="General">
                  <c:v>2.5049999999999999</c:v>
                </c:pt>
                <c:pt idx="34" formatCode="General">
                  <c:v>2.2450000000000001</c:v>
                </c:pt>
                <c:pt idx="35" formatCode="General">
                  <c:v>2.16</c:v>
                </c:pt>
                <c:pt idx="36" formatCode="General">
                  <c:v>2.5750000000000002</c:v>
                </c:pt>
                <c:pt idx="37" formatCode="General">
                  <c:v>2.77</c:v>
                </c:pt>
                <c:pt idx="38" formatCode="General">
                  <c:v>2.92</c:v>
                </c:pt>
                <c:pt idx="39" formatCode="General">
                  <c:v>2.62</c:v>
                </c:pt>
                <c:pt idx="40" formatCode="General">
                  <c:v>2.67</c:v>
                </c:pt>
                <c:pt idx="41" formatCode="General">
                  <c:v>2.5149999999999997</c:v>
                </c:pt>
                <c:pt idx="42" formatCode="General">
                  <c:v>2.855</c:v>
                </c:pt>
                <c:pt idx="43" formatCode="General">
                  <c:v>2.59</c:v>
                </c:pt>
                <c:pt idx="44" formatCode="General">
                  <c:v>2.8449999999999998</c:v>
                </c:pt>
                <c:pt idx="45" formatCode="General">
                  <c:v>2.7199999999999998</c:v>
                </c:pt>
                <c:pt idx="46" formatCode="General">
                  <c:v>2.92</c:v>
                </c:pt>
                <c:pt idx="47" formatCode="General">
                  <c:v>2.6799999999999997</c:v>
                </c:pt>
                <c:pt idx="48" formatCode="General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5-47CD-BA8B-6AF6818B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2432"/>
        <c:axId val="131844736"/>
      </c:scatterChart>
      <c:scatterChart>
        <c:scatterStyle val="lineMarker"/>
        <c:varyColors val="0"/>
        <c:ser>
          <c:idx val="1"/>
          <c:order val="1"/>
          <c:tx>
            <c:v>Viability</c:v>
          </c:tx>
          <c:spPr>
            <a:ln w="12700">
              <a:solidFill>
                <a:schemeClr val="accent3"/>
              </a:solidFill>
              <a:prstDash val="dash"/>
            </a:ln>
          </c:spPr>
          <c:marker>
            <c:symbol val="square"/>
            <c:size val="7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Parameters'!$T$13:$T$61</c:f>
              <c:numCache>
                <c:formatCode>0.00</c:formatCode>
                <c:ptCount val="49"/>
                <c:pt idx="0">
                  <c:v>93.550000000000011</c:v>
                </c:pt>
                <c:pt idx="1">
                  <c:v>95.1</c:v>
                </c:pt>
                <c:pt idx="2">
                  <c:v>95.55</c:v>
                </c:pt>
                <c:pt idx="3">
                  <c:v>94.55</c:v>
                </c:pt>
                <c:pt idx="4">
                  <c:v>94.4</c:v>
                </c:pt>
                <c:pt idx="5">
                  <c:v>94.7</c:v>
                </c:pt>
                <c:pt idx="6">
                  <c:v>94.7</c:v>
                </c:pt>
                <c:pt idx="7">
                  <c:v>93.1</c:v>
                </c:pt>
                <c:pt idx="8">
                  <c:v>94.05</c:v>
                </c:pt>
                <c:pt idx="9">
                  <c:v>94.1</c:v>
                </c:pt>
                <c:pt idx="10">
                  <c:v>95</c:v>
                </c:pt>
                <c:pt idx="11">
                  <c:v>94.65</c:v>
                </c:pt>
                <c:pt idx="12">
                  <c:v>93.6</c:v>
                </c:pt>
                <c:pt idx="13">
                  <c:v>91.65</c:v>
                </c:pt>
                <c:pt idx="14">
                  <c:v>95.199999999999989</c:v>
                </c:pt>
                <c:pt idx="15">
                  <c:v>93.75</c:v>
                </c:pt>
                <c:pt idx="16">
                  <c:v>94.1</c:v>
                </c:pt>
                <c:pt idx="17">
                  <c:v>94.300000000000011</c:v>
                </c:pt>
                <c:pt idx="18">
                  <c:v>94.1</c:v>
                </c:pt>
                <c:pt idx="19">
                  <c:v>94.05</c:v>
                </c:pt>
                <c:pt idx="20">
                  <c:v>94.449999999999989</c:v>
                </c:pt>
                <c:pt idx="21">
                  <c:v>93.949999999999989</c:v>
                </c:pt>
                <c:pt idx="22">
                  <c:v>94.7</c:v>
                </c:pt>
                <c:pt idx="23">
                  <c:v>94.15</c:v>
                </c:pt>
                <c:pt idx="24">
                  <c:v>94.25</c:v>
                </c:pt>
                <c:pt idx="25">
                  <c:v>94.2</c:v>
                </c:pt>
                <c:pt idx="26" formatCode="General">
                  <c:v>93.5</c:v>
                </c:pt>
                <c:pt idx="27" formatCode="General">
                  <c:v>93.800000000000011</c:v>
                </c:pt>
                <c:pt idx="28" formatCode="General">
                  <c:v>93.3</c:v>
                </c:pt>
                <c:pt idx="29" formatCode="General">
                  <c:v>94.25</c:v>
                </c:pt>
                <c:pt idx="30" formatCode="General">
                  <c:v>93.9</c:v>
                </c:pt>
                <c:pt idx="31" formatCode="General">
                  <c:v>94.5</c:v>
                </c:pt>
                <c:pt idx="32" formatCode="General">
                  <c:v>94.199999999999989</c:v>
                </c:pt>
                <c:pt idx="33">
                  <c:v>94.1</c:v>
                </c:pt>
                <c:pt idx="34">
                  <c:v>93.800000000000011</c:v>
                </c:pt>
                <c:pt idx="35">
                  <c:v>92.699999999999989</c:v>
                </c:pt>
                <c:pt idx="36" formatCode="General">
                  <c:v>93.7</c:v>
                </c:pt>
                <c:pt idx="37" formatCode="General">
                  <c:v>93.800000000000011</c:v>
                </c:pt>
                <c:pt idx="38" formatCode="General">
                  <c:v>93.75</c:v>
                </c:pt>
                <c:pt idx="39" formatCode="General">
                  <c:v>93.5</c:v>
                </c:pt>
                <c:pt idx="40" formatCode="General">
                  <c:v>93.4</c:v>
                </c:pt>
                <c:pt idx="41" formatCode="General">
                  <c:v>93.55</c:v>
                </c:pt>
                <c:pt idx="42" formatCode="General">
                  <c:v>93.949999999999989</c:v>
                </c:pt>
                <c:pt idx="43" formatCode="General">
                  <c:v>93.5</c:v>
                </c:pt>
                <c:pt idx="44" formatCode="General">
                  <c:v>94.3</c:v>
                </c:pt>
                <c:pt idx="45" formatCode="General">
                  <c:v>93.85</c:v>
                </c:pt>
                <c:pt idx="46" formatCode="General">
                  <c:v>93.7</c:v>
                </c:pt>
                <c:pt idx="47" formatCode="General">
                  <c:v>93.9</c:v>
                </c:pt>
                <c:pt idx="48" formatCode="General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5-47CD-BA8B-6AF6818B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9696"/>
        <c:axId val="132907776"/>
      </c:scatterChart>
      <c:valAx>
        <c:axId val="131842432"/>
        <c:scaling>
          <c:orientation val="minMax"/>
          <c:max val="22"/>
          <c:min val="-4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100">
                    <a:latin typeface="Arial" panose="020B0604020202020204" pitchFamily="34" charset="0"/>
                    <a:cs typeface="Arial" panose="020B0604020202020204" pitchFamily="34" charset="0"/>
                  </a:rPr>
                  <a:t>Cultivation time</a:t>
                </a:r>
                <a:r>
                  <a:rPr lang="en-US" sz="11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latin typeface="Arial" panose="020B0604020202020204" pitchFamily="34" charset="0"/>
                    <a:cs typeface="Arial" panose="020B0604020202020204" pitchFamily="34" charset="0"/>
                  </a:rPr>
                  <a:t>(dpi)</a:t>
                </a:r>
              </a:p>
            </c:rich>
          </c:tx>
          <c:layout>
            <c:manualLayout>
              <c:xMode val="edge"/>
              <c:yMode val="edge"/>
              <c:x val="0.34574223013891175"/>
              <c:y val="0.9012708632415423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/>
          <a:lstStyle/>
          <a:p>
            <a:pPr>
              <a:defRPr sz="1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1844736"/>
        <c:crosses val="autoZero"/>
        <c:crossBetween val="midCat"/>
        <c:majorUnit val="2"/>
      </c:valAx>
      <c:valAx>
        <c:axId val="131844736"/>
        <c:scaling>
          <c:orientation val="minMax"/>
          <c:max val="7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VCC (x10</a:t>
                </a:r>
                <a:r>
                  <a:rPr lang="en-US" sz="1100" b="1" baseline="30000">
                    <a:latin typeface="Arial" panose="020B0604020202020204" pitchFamily="34" charset="0"/>
                    <a:cs typeface="Arial" panose="020B0604020202020204" pitchFamily="34" charset="0"/>
                  </a:rPr>
                  <a:t>6</a:t>
                </a:r>
                <a:r>
                  <a:rPr lang="en-US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 cells/mL)</a:t>
                </a:r>
              </a:p>
            </c:rich>
          </c:tx>
          <c:layout>
            <c:manualLayout>
              <c:xMode val="edge"/>
              <c:yMode val="edge"/>
              <c:x val="7.7260917071368035E-2"/>
              <c:y val="0.25166717419991008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1842432"/>
        <c:crossesAt val="-4"/>
        <c:crossBetween val="midCat"/>
        <c:majorUnit val="0.5"/>
      </c:valAx>
      <c:valAx>
        <c:axId val="132907776"/>
        <c:scaling>
          <c:orientation val="minMax"/>
          <c:max val="100"/>
          <c:min val="5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 b="0"/>
                </a:pPr>
                <a:r>
                  <a:rPr lang="de-DE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Viabilit</a:t>
                </a:r>
                <a:r>
                  <a:rPr lang="de-DE" sz="11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y (%)</a:t>
                </a:r>
                <a:endParaRPr lang="de-DE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7284944969821787"/>
              <c:y val="0.3452293325212801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2909696"/>
        <c:crosses val="max"/>
        <c:crossBetween val="midCat"/>
        <c:majorUnit val="10"/>
      </c:valAx>
      <c:valAx>
        <c:axId val="132909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907776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61690168842443"/>
          <c:y val="0.11609982453850727"/>
          <c:w val="0.58148031791104504"/>
          <c:h val="0.68921660834062404"/>
        </c:manualLayout>
      </c:layout>
      <c:scatterChart>
        <c:scatterStyle val="lineMarker"/>
        <c:varyColors val="0"/>
        <c:ser>
          <c:idx val="0"/>
          <c:order val="0"/>
          <c:tx>
            <c:v>Viable Cells</c:v>
          </c:tx>
          <c:spPr>
            <a:ln w="12700">
              <a:solidFill>
                <a:schemeClr val="accent1"/>
              </a:solidFill>
              <a:prstDash val="dash"/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Parameters'!$AD$13:$AD$61</c:f>
              <c:numCache>
                <c:formatCode>General</c:formatCode>
                <c:ptCount val="49"/>
                <c:pt idx="0">
                  <c:v>0.62</c:v>
                </c:pt>
                <c:pt idx="1">
                  <c:v>1.39</c:v>
                </c:pt>
                <c:pt idx="2">
                  <c:v>2.02</c:v>
                </c:pt>
                <c:pt idx="3">
                  <c:v>2.91</c:v>
                </c:pt>
                <c:pt idx="4">
                  <c:v>2.2999999999999998</c:v>
                </c:pt>
                <c:pt idx="5" formatCode="0.00">
                  <c:v>2.39</c:v>
                </c:pt>
                <c:pt idx="6">
                  <c:v>2.5499999999999998</c:v>
                </c:pt>
                <c:pt idx="7">
                  <c:v>1.83</c:v>
                </c:pt>
                <c:pt idx="8">
                  <c:v>0.59</c:v>
                </c:pt>
                <c:pt idx="9">
                  <c:v>0.84</c:v>
                </c:pt>
                <c:pt idx="10">
                  <c:v>0.26</c:v>
                </c:pt>
                <c:pt idx="11">
                  <c:v>1.38</c:v>
                </c:pt>
                <c:pt idx="12">
                  <c:v>0.96</c:v>
                </c:pt>
                <c:pt idx="13">
                  <c:v>0.97</c:v>
                </c:pt>
                <c:pt idx="14">
                  <c:v>1.55</c:v>
                </c:pt>
                <c:pt idx="15">
                  <c:v>1.57</c:v>
                </c:pt>
                <c:pt idx="16">
                  <c:v>2.08</c:v>
                </c:pt>
                <c:pt idx="17">
                  <c:v>0.76</c:v>
                </c:pt>
                <c:pt idx="18">
                  <c:v>0.38</c:v>
                </c:pt>
                <c:pt idx="19">
                  <c:v>0.73</c:v>
                </c:pt>
                <c:pt idx="20">
                  <c:v>0.88</c:v>
                </c:pt>
                <c:pt idx="21">
                  <c:v>1.18</c:v>
                </c:pt>
                <c:pt idx="22">
                  <c:v>1.56</c:v>
                </c:pt>
                <c:pt idx="23">
                  <c:v>2.15</c:v>
                </c:pt>
                <c:pt idx="24">
                  <c:v>2.5499999999999998</c:v>
                </c:pt>
                <c:pt idx="25">
                  <c:v>1.24</c:v>
                </c:pt>
                <c:pt idx="26">
                  <c:v>0.33</c:v>
                </c:pt>
                <c:pt idx="27">
                  <c:v>0.77</c:v>
                </c:pt>
                <c:pt idx="28">
                  <c:v>0.56999999999999995</c:v>
                </c:pt>
                <c:pt idx="29">
                  <c:v>0.88</c:v>
                </c:pt>
                <c:pt idx="30">
                  <c:v>1.07</c:v>
                </c:pt>
                <c:pt idx="31">
                  <c:v>1.59</c:v>
                </c:pt>
                <c:pt idx="32">
                  <c:v>1.96</c:v>
                </c:pt>
                <c:pt idx="33" formatCode="0.00">
                  <c:v>1.99</c:v>
                </c:pt>
                <c:pt idx="34" formatCode="0.00">
                  <c:v>1.05</c:v>
                </c:pt>
                <c:pt idx="35" formatCode="0.00">
                  <c:v>0.71</c:v>
                </c:pt>
                <c:pt idx="36">
                  <c:v>0.63</c:v>
                </c:pt>
                <c:pt idx="37">
                  <c:v>1.03</c:v>
                </c:pt>
                <c:pt idx="38">
                  <c:v>1.39</c:v>
                </c:pt>
                <c:pt idx="39">
                  <c:v>2.38</c:v>
                </c:pt>
                <c:pt idx="40">
                  <c:v>2.62</c:v>
                </c:pt>
                <c:pt idx="41">
                  <c:v>1.74</c:v>
                </c:pt>
                <c:pt idx="42">
                  <c:v>0.71</c:v>
                </c:pt>
                <c:pt idx="43">
                  <c:v>1.07</c:v>
                </c:pt>
                <c:pt idx="44">
                  <c:v>0.82</c:v>
                </c:pt>
                <c:pt idx="45">
                  <c:v>1.38</c:v>
                </c:pt>
                <c:pt idx="46">
                  <c:v>1.63</c:v>
                </c:pt>
                <c:pt idx="47">
                  <c:v>2.2200000000000002</c:v>
                </c:pt>
                <c:pt idx="48">
                  <c:v>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1F-4F99-8C8C-0966CF57A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56544"/>
        <c:axId val="132958848"/>
      </c:scatterChart>
      <c:scatterChart>
        <c:scatterStyle val="lineMarker"/>
        <c:varyColors val="0"/>
        <c:ser>
          <c:idx val="1"/>
          <c:order val="1"/>
          <c:tx>
            <c:v>Viability</c:v>
          </c:tx>
          <c:spPr>
            <a:ln w="12700">
              <a:solidFill>
                <a:schemeClr val="accent3"/>
              </a:solidFill>
              <a:prstDash val="dash"/>
            </a:ln>
          </c:spPr>
          <c:marker>
            <c:symbol val="square"/>
            <c:size val="7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Parameters'!$AJ$13:$AJ$61</c:f>
              <c:numCache>
                <c:formatCode>General</c:formatCode>
                <c:ptCount val="49"/>
                <c:pt idx="0">
                  <c:v>95.8</c:v>
                </c:pt>
                <c:pt idx="1">
                  <c:v>95</c:v>
                </c:pt>
                <c:pt idx="2">
                  <c:v>95.7</c:v>
                </c:pt>
                <c:pt idx="3">
                  <c:v>95.9</c:v>
                </c:pt>
                <c:pt idx="4">
                  <c:v>93.7</c:v>
                </c:pt>
                <c:pt idx="5" formatCode="0.00">
                  <c:v>95.1</c:v>
                </c:pt>
                <c:pt idx="6">
                  <c:v>94.9</c:v>
                </c:pt>
                <c:pt idx="7">
                  <c:v>94.6</c:v>
                </c:pt>
                <c:pt idx="8">
                  <c:v>88.1</c:v>
                </c:pt>
                <c:pt idx="9">
                  <c:v>93.7</c:v>
                </c:pt>
                <c:pt idx="10">
                  <c:v>87.4</c:v>
                </c:pt>
                <c:pt idx="11">
                  <c:v>96.9</c:v>
                </c:pt>
                <c:pt idx="12">
                  <c:v>93.5</c:v>
                </c:pt>
                <c:pt idx="13">
                  <c:v>94.7</c:v>
                </c:pt>
                <c:pt idx="14">
                  <c:v>95.3</c:v>
                </c:pt>
                <c:pt idx="15">
                  <c:v>93.1</c:v>
                </c:pt>
                <c:pt idx="16">
                  <c:v>91.6</c:v>
                </c:pt>
                <c:pt idx="17">
                  <c:v>92.4</c:v>
                </c:pt>
                <c:pt idx="18">
                  <c:v>89.9</c:v>
                </c:pt>
                <c:pt idx="19">
                  <c:v>92</c:v>
                </c:pt>
                <c:pt idx="20">
                  <c:v>94.7</c:v>
                </c:pt>
                <c:pt idx="21">
                  <c:v>95.1</c:v>
                </c:pt>
                <c:pt idx="22">
                  <c:v>94.8</c:v>
                </c:pt>
                <c:pt idx="23">
                  <c:v>94.5</c:v>
                </c:pt>
                <c:pt idx="24">
                  <c:v>95</c:v>
                </c:pt>
                <c:pt idx="25">
                  <c:v>92.2</c:v>
                </c:pt>
                <c:pt idx="26">
                  <c:v>84.5</c:v>
                </c:pt>
                <c:pt idx="27">
                  <c:v>94.8</c:v>
                </c:pt>
                <c:pt idx="28">
                  <c:v>92.3</c:v>
                </c:pt>
                <c:pt idx="29">
                  <c:v>94.2</c:v>
                </c:pt>
                <c:pt idx="30">
                  <c:v>95.2</c:v>
                </c:pt>
                <c:pt idx="31">
                  <c:v>93.6</c:v>
                </c:pt>
                <c:pt idx="32">
                  <c:v>93.3</c:v>
                </c:pt>
                <c:pt idx="33" formatCode="0.00">
                  <c:v>91.2</c:v>
                </c:pt>
                <c:pt idx="34" formatCode="0.00">
                  <c:v>95.2</c:v>
                </c:pt>
                <c:pt idx="35" formatCode="0.00">
                  <c:v>90.8</c:v>
                </c:pt>
                <c:pt idx="36">
                  <c:v>88.8</c:v>
                </c:pt>
                <c:pt idx="37">
                  <c:v>92.4</c:v>
                </c:pt>
                <c:pt idx="38">
                  <c:v>93.4</c:v>
                </c:pt>
                <c:pt idx="39">
                  <c:v>95</c:v>
                </c:pt>
                <c:pt idx="40">
                  <c:v>94.7</c:v>
                </c:pt>
                <c:pt idx="41">
                  <c:v>93.5</c:v>
                </c:pt>
                <c:pt idx="42">
                  <c:v>93.3</c:v>
                </c:pt>
                <c:pt idx="43">
                  <c:v>94.4</c:v>
                </c:pt>
                <c:pt idx="44">
                  <c:v>91.5</c:v>
                </c:pt>
                <c:pt idx="45">
                  <c:v>95.3</c:v>
                </c:pt>
                <c:pt idx="46">
                  <c:v>93.5</c:v>
                </c:pt>
                <c:pt idx="47">
                  <c:v>94.5</c:v>
                </c:pt>
                <c:pt idx="48">
                  <c:v>96.7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1F-4F99-8C8C-0966CF57A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71136"/>
        <c:axId val="132969216"/>
      </c:scatterChart>
      <c:valAx>
        <c:axId val="132956544"/>
        <c:scaling>
          <c:orientation val="minMax"/>
          <c:max val="22"/>
          <c:min val="-4"/>
        </c:scaling>
        <c:delete val="0"/>
        <c:axPos val="b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Cultivation time</a:t>
                </a:r>
                <a:r>
                  <a:rPr lang="en-US" sz="1100" b="1" i="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</a:t>
                </a:r>
                <a:r>
                  <a:rPr lang="en-US" sz="1100" b="1" i="0">
                    <a:latin typeface="Arial" panose="020B0604020202020204" pitchFamily="34" charset="0"/>
                    <a:cs typeface="Arial" panose="020B0604020202020204" pitchFamily="34" charset="0"/>
                  </a:rPr>
                  <a:t>dpi)</a:t>
                </a:r>
              </a:p>
            </c:rich>
          </c:tx>
          <c:layout>
            <c:manualLayout>
              <c:xMode val="edge"/>
              <c:yMode val="edge"/>
              <c:x val="0.30261722014425846"/>
              <c:y val="0.90495410449384439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/>
          <a:lstStyle/>
          <a:p>
            <a:pPr>
              <a:defRPr sz="1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2958848"/>
        <c:crosses val="autoZero"/>
        <c:crossBetween val="midCat"/>
        <c:majorUnit val="2"/>
      </c:valAx>
      <c:valAx>
        <c:axId val="132958848"/>
        <c:scaling>
          <c:orientation val="minMax"/>
          <c:max val="7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VCC </a:t>
                </a:r>
                <a:r>
                  <a:rPr lang="en-US" sz="11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(</a:t>
                </a:r>
                <a:r>
                  <a:rPr lang="en-US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x10</a:t>
                </a:r>
                <a:r>
                  <a:rPr lang="en-US" sz="1100" b="1" baseline="30000">
                    <a:latin typeface="Arial" panose="020B0604020202020204" pitchFamily="34" charset="0"/>
                    <a:cs typeface="Arial" panose="020B0604020202020204" pitchFamily="34" charset="0"/>
                  </a:rPr>
                  <a:t>6</a:t>
                </a:r>
                <a:r>
                  <a:rPr lang="en-US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 cells/mL)</a:t>
                </a:r>
              </a:p>
            </c:rich>
          </c:tx>
          <c:layout>
            <c:manualLayout>
              <c:xMode val="edge"/>
              <c:yMode val="edge"/>
              <c:x val="4.1115228738110278E-2"/>
              <c:y val="0.25903365670451417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2956544"/>
        <c:crossesAt val="-14"/>
        <c:crossBetween val="midCat"/>
        <c:majorUnit val="0.5"/>
      </c:valAx>
      <c:valAx>
        <c:axId val="132969216"/>
        <c:scaling>
          <c:orientation val="minMax"/>
          <c:max val="100"/>
          <c:min val="5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DE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Viability</a:t>
                </a:r>
                <a:r>
                  <a:rPr lang="de-DE" sz="11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(%)</a:t>
                </a:r>
                <a:endParaRPr lang="de-DE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5077301604043765"/>
              <c:y val="0.3125311407897217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2971136"/>
        <c:crosses val="max"/>
        <c:crossBetween val="midCat"/>
        <c:majorUnit val="10"/>
      </c:valAx>
      <c:valAx>
        <c:axId val="132971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969216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81967320139683"/>
          <c:y val="4.1299384470662802E-2"/>
          <c:w val="0.67575291460660436"/>
          <c:h val="0.76258631581902248"/>
        </c:manualLayout>
      </c:layout>
      <c:scatterChart>
        <c:scatterStyle val="lineMarker"/>
        <c:varyColors val="0"/>
        <c:ser>
          <c:idx val="2"/>
          <c:order val="0"/>
          <c:tx>
            <c:v>Cell bioreactor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Parameters'!$M$13:$M$61</c:f>
              <c:numCache>
                <c:formatCode>0.00</c:formatCode>
                <c:ptCount val="49"/>
                <c:pt idx="0">
                  <c:v>0.54500000000000004</c:v>
                </c:pt>
                <c:pt idx="1">
                  <c:v>1.3250000000000002</c:v>
                </c:pt>
                <c:pt idx="2">
                  <c:v>2.08</c:v>
                </c:pt>
                <c:pt idx="3">
                  <c:v>3.0300000000000002</c:v>
                </c:pt>
                <c:pt idx="4">
                  <c:v>3.1</c:v>
                </c:pt>
                <c:pt idx="5">
                  <c:v>3.2349999999999999</c:v>
                </c:pt>
                <c:pt idx="6">
                  <c:v>2.9249999999999998</c:v>
                </c:pt>
                <c:pt idx="7">
                  <c:v>2.69</c:v>
                </c:pt>
                <c:pt idx="8">
                  <c:v>2.67</c:v>
                </c:pt>
                <c:pt idx="9">
                  <c:v>2.39</c:v>
                </c:pt>
                <c:pt idx="10">
                  <c:v>2.9299999999999997</c:v>
                </c:pt>
                <c:pt idx="11">
                  <c:v>2.4299999999999997</c:v>
                </c:pt>
                <c:pt idx="12">
                  <c:v>2.2549999999999999</c:v>
                </c:pt>
                <c:pt idx="13">
                  <c:v>2.41</c:v>
                </c:pt>
                <c:pt idx="14">
                  <c:v>2.7</c:v>
                </c:pt>
                <c:pt idx="15">
                  <c:v>2.2050000000000001</c:v>
                </c:pt>
                <c:pt idx="16">
                  <c:v>2.4849999999999999</c:v>
                </c:pt>
                <c:pt idx="17">
                  <c:v>2.5599999999999996</c:v>
                </c:pt>
                <c:pt idx="18">
                  <c:v>2.7949999999999999</c:v>
                </c:pt>
                <c:pt idx="19">
                  <c:v>2.605</c:v>
                </c:pt>
                <c:pt idx="20">
                  <c:v>2.6550000000000002</c:v>
                </c:pt>
                <c:pt idx="21">
                  <c:v>2.54</c:v>
                </c:pt>
                <c:pt idx="22">
                  <c:v>2.8200000000000003</c:v>
                </c:pt>
                <c:pt idx="23">
                  <c:v>2.41</c:v>
                </c:pt>
                <c:pt idx="24">
                  <c:v>2.5750000000000002</c:v>
                </c:pt>
                <c:pt idx="25">
                  <c:v>2.3600000000000003</c:v>
                </c:pt>
                <c:pt idx="26" formatCode="General">
                  <c:v>2.46</c:v>
                </c:pt>
                <c:pt idx="27" formatCode="General">
                  <c:v>2.17</c:v>
                </c:pt>
                <c:pt idx="28" formatCode="General">
                  <c:v>2.5</c:v>
                </c:pt>
                <c:pt idx="29" formatCode="General">
                  <c:v>2.3650000000000002</c:v>
                </c:pt>
                <c:pt idx="30" formatCode="General">
                  <c:v>2.4649999999999999</c:v>
                </c:pt>
                <c:pt idx="31" formatCode="General">
                  <c:v>2.37</c:v>
                </c:pt>
                <c:pt idx="32" formatCode="General">
                  <c:v>2.6500000000000004</c:v>
                </c:pt>
                <c:pt idx="33" formatCode="General">
                  <c:v>2.5049999999999999</c:v>
                </c:pt>
                <c:pt idx="34" formatCode="General">
                  <c:v>2.2450000000000001</c:v>
                </c:pt>
                <c:pt idx="35" formatCode="General">
                  <c:v>2.16</c:v>
                </c:pt>
                <c:pt idx="36" formatCode="General">
                  <c:v>2.5750000000000002</c:v>
                </c:pt>
                <c:pt idx="37" formatCode="General">
                  <c:v>2.77</c:v>
                </c:pt>
                <c:pt idx="38" formatCode="General">
                  <c:v>2.92</c:v>
                </c:pt>
                <c:pt idx="39" formatCode="General">
                  <c:v>2.62</c:v>
                </c:pt>
                <c:pt idx="40" formatCode="General">
                  <c:v>2.67</c:v>
                </c:pt>
                <c:pt idx="41" formatCode="General">
                  <c:v>2.5149999999999997</c:v>
                </c:pt>
                <c:pt idx="42" formatCode="General">
                  <c:v>2.855</c:v>
                </c:pt>
                <c:pt idx="43" formatCode="General">
                  <c:v>2.59</c:v>
                </c:pt>
                <c:pt idx="44" formatCode="General">
                  <c:v>2.8449999999999998</c:v>
                </c:pt>
                <c:pt idx="45" formatCode="General">
                  <c:v>2.7199999999999998</c:v>
                </c:pt>
                <c:pt idx="46" formatCode="General">
                  <c:v>2.92</c:v>
                </c:pt>
                <c:pt idx="47" formatCode="General">
                  <c:v>2.6799999999999997</c:v>
                </c:pt>
                <c:pt idx="48" formatCode="General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D5F-4216-A24E-1EDC086BC403}"/>
            </c:ext>
          </c:extLst>
        </c:ser>
        <c:ser>
          <c:idx val="0"/>
          <c:order val="1"/>
          <c:tx>
            <c:v>Virus bioreactor 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Parameters'!$AF$13:$AF$61</c:f>
              <c:numCache>
                <c:formatCode>0.00</c:formatCode>
                <c:ptCount val="49"/>
                <c:pt idx="0">
                  <c:v>0.61</c:v>
                </c:pt>
                <c:pt idx="1">
                  <c:v>1.39</c:v>
                </c:pt>
                <c:pt idx="2">
                  <c:v>2.08</c:v>
                </c:pt>
                <c:pt idx="3">
                  <c:v>2.915</c:v>
                </c:pt>
                <c:pt idx="4">
                  <c:v>2.355</c:v>
                </c:pt>
                <c:pt idx="5">
                  <c:v>2.3849999999999998</c:v>
                </c:pt>
                <c:pt idx="6">
                  <c:v>2.4950000000000001</c:v>
                </c:pt>
                <c:pt idx="7">
                  <c:v>1.8050000000000002</c:v>
                </c:pt>
                <c:pt idx="8">
                  <c:v>0.57999999999999996</c:v>
                </c:pt>
                <c:pt idx="9">
                  <c:v>0.86499999999999999</c:v>
                </c:pt>
                <c:pt idx="10">
                  <c:v>0.26500000000000001</c:v>
                </c:pt>
                <c:pt idx="11">
                  <c:v>1.38</c:v>
                </c:pt>
                <c:pt idx="12">
                  <c:v>0.95</c:v>
                </c:pt>
                <c:pt idx="13">
                  <c:v>0.98499999999999999</c:v>
                </c:pt>
                <c:pt idx="14">
                  <c:v>1.55</c:v>
                </c:pt>
                <c:pt idx="15">
                  <c:v>1.6099999999999999</c:v>
                </c:pt>
                <c:pt idx="16">
                  <c:v>2.0949999999999998</c:v>
                </c:pt>
                <c:pt idx="17">
                  <c:v>0.76500000000000001</c:v>
                </c:pt>
                <c:pt idx="18">
                  <c:v>0.36499999999999999</c:v>
                </c:pt>
                <c:pt idx="19">
                  <c:v>0.73</c:v>
                </c:pt>
                <c:pt idx="20">
                  <c:v>0.89</c:v>
                </c:pt>
                <c:pt idx="21">
                  <c:v>1.1850000000000001</c:v>
                </c:pt>
                <c:pt idx="22">
                  <c:v>1.6</c:v>
                </c:pt>
                <c:pt idx="23">
                  <c:v>2.1850000000000001</c:v>
                </c:pt>
                <c:pt idx="24">
                  <c:v>2.4550000000000001</c:v>
                </c:pt>
                <c:pt idx="25">
                  <c:v>1.2149999999999999</c:v>
                </c:pt>
                <c:pt idx="26">
                  <c:v>0.33999999999999997</c:v>
                </c:pt>
                <c:pt idx="27">
                  <c:v>0.75</c:v>
                </c:pt>
                <c:pt idx="28">
                  <c:v>0.59</c:v>
                </c:pt>
                <c:pt idx="29">
                  <c:v>0.9</c:v>
                </c:pt>
                <c:pt idx="30">
                  <c:v>1.0550000000000002</c:v>
                </c:pt>
                <c:pt idx="31">
                  <c:v>1.57</c:v>
                </c:pt>
                <c:pt idx="32" formatCode="General">
                  <c:v>1.9550000000000001</c:v>
                </c:pt>
                <c:pt idx="33">
                  <c:v>1.9550000000000001</c:v>
                </c:pt>
                <c:pt idx="34">
                  <c:v>1.0150000000000001</c:v>
                </c:pt>
                <c:pt idx="35">
                  <c:v>0.72</c:v>
                </c:pt>
                <c:pt idx="36" formatCode="General">
                  <c:v>0.60499999999999998</c:v>
                </c:pt>
                <c:pt idx="37" formatCode="General">
                  <c:v>1.0350000000000001</c:v>
                </c:pt>
                <c:pt idx="38" formatCode="General">
                  <c:v>1.415</c:v>
                </c:pt>
                <c:pt idx="39" formatCode="General">
                  <c:v>2.29</c:v>
                </c:pt>
                <c:pt idx="40" formatCode="General">
                  <c:v>2.6950000000000003</c:v>
                </c:pt>
                <c:pt idx="41" formatCode="General">
                  <c:v>1.7549999999999999</c:v>
                </c:pt>
                <c:pt idx="42" formatCode="General">
                  <c:v>0.67500000000000004</c:v>
                </c:pt>
                <c:pt idx="43" formatCode="General">
                  <c:v>1.06</c:v>
                </c:pt>
                <c:pt idx="44" formatCode="General">
                  <c:v>0.83499999999999996</c:v>
                </c:pt>
                <c:pt idx="45" formatCode="General">
                  <c:v>1.35</c:v>
                </c:pt>
                <c:pt idx="46" formatCode="General">
                  <c:v>1.64</c:v>
                </c:pt>
                <c:pt idx="47" formatCode="General">
                  <c:v>2.2450000000000001</c:v>
                </c:pt>
                <c:pt idx="48" formatCode="General">
                  <c:v>2.9950000000000001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D5F-4216-A24E-1EDC086BC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72960"/>
        <c:axId val="134075520"/>
      </c:scatterChart>
      <c:valAx>
        <c:axId val="134072960"/>
        <c:scaling>
          <c:orientation val="minMax"/>
          <c:max val="22"/>
          <c:min val="-4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b="1"/>
                  <a:t>Time post infection (dpi)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075520"/>
        <c:crosses val="autoZero"/>
        <c:crossBetween val="midCat"/>
        <c:majorUnit val="2"/>
      </c:valAx>
      <c:valAx>
        <c:axId val="1340755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b="1"/>
                  <a:t>VCC (× 10</a:t>
                </a:r>
                <a:r>
                  <a:rPr lang="de-DE" b="1" baseline="30000"/>
                  <a:t>6</a:t>
                </a:r>
                <a:r>
                  <a:rPr lang="de-DE" b="1"/>
                  <a:t> cells/mL)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072960"/>
        <c:crossesAt val="-4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69053286943784"/>
          <c:y val="4.1299339396940339E-2"/>
          <c:w val="0.67575291460660436"/>
          <c:h val="0.76258631581902248"/>
        </c:manualLayout>
      </c:layout>
      <c:scatterChart>
        <c:scatterStyle val="lineMarker"/>
        <c:varyColors val="0"/>
        <c:ser>
          <c:idx val="0"/>
          <c:order val="0"/>
          <c:tx>
            <c:v>Virus bioreactor 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'General Parameters'!$F$13:$F$48</c:f>
              <c:numCache>
                <c:formatCode>General</c:formatCode>
                <c:ptCount val="36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</c:numCache>
            </c:numRef>
          </c:xVal>
          <c:yVal>
            <c:numRef>
              <c:f>'General Parameters'!$AY$13:$AY$48</c:f>
              <c:numCache>
                <c:formatCode>0.0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3-40A5-87DB-6E38C50E2933}"/>
            </c:ext>
          </c:extLst>
        </c:ser>
        <c:ser>
          <c:idx val="6"/>
          <c:order val="1"/>
          <c:tx>
            <c:v>Virus bioreactor 2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'General Parameters'!$F$13:$F$48</c:f>
              <c:numCache>
                <c:formatCode>General</c:formatCode>
                <c:ptCount val="36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</c:numCache>
            </c:numRef>
          </c:xVal>
          <c:yVal>
            <c:numRef>
              <c:f>'General Parameters'!#REF!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43-40A5-87DB-6E38C50E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01088"/>
        <c:axId val="132228224"/>
      </c:scatterChart>
      <c:valAx>
        <c:axId val="132201088"/>
        <c:scaling>
          <c:orientation val="minMax"/>
          <c:max val="1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b="1"/>
                  <a:t>Cultivation time p.i.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228224"/>
        <c:crosses val="autoZero"/>
        <c:crossBetween val="midCat"/>
        <c:majorUnit val="2"/>
      </c:valAx>
      <c:valAx>
        <c:axId val="132228224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b="1" baseline="0"/>
                  <a:t>MOI</a:t>
                </a:r>
                <a:endParaRPr lang="de-DE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201088"/>
        <c:crosses val="autoZero"/>
        <c:crossBetween val="midCat"/>
        <c:majorUnit val="10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9208893707374"/>
          <c:y val="4.1299449971854293E-2"/>
          <c:w val="0.62907850177215907"/>
          <c:h val="0.70746152854924138"/>
        </c:manualLayout>
      </c:layout>
      <c:scatterChart>
        <c:scatterStyle val="lineMarker"/>
        <c:varyColors val="0"/>
        <c:ser>
          <c:idx val="0"/>
          <c:order val="0"/>
          <c:tx>
            <c:v>Virus bioreactor 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'General Parameters'!$BE$58:$BE$70</c:f>
              <c:numCache>
                <c:formatCode>General</c:formatCode>
                <c:ptCount val="13"/>
              </c:numCache>
            </c:numRef>
          </c:xVal>
          <c:yVal>
            <c:numRef>
              <c:f>'General Parameters'!$BG$58:$BG$70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4-4F7B-9FA9-B85EF0047CCA}"/>
            </c:ext>
          </c:extLst>
        </c:ser>
        <c:ser>
          <c:idx val="6"/>
          <c:order val="1"/>
          <c:tx>
            <c:v>Virus bioreactor 2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'General Parameters'!$BH$58:$BH$69</c:f>
              <c:numCache>
                <c:formatCode>General</c:formatCode>
                <c:ptCount val="12"/>
              </c:numCache>
            </c:numRef>
          </c:xVal>
          <c:yVal>
            <c:numRef>
              <c:f>'General Parameters'!$BJ$58:$BJ$69</c:f>
              <c:numCache>
                <c:formatCode>0.00E+00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4-4F7B-9FA9-B85EF0047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82496"/>
        <c:axId val="134685056"/>
      </c:scatterChart>
      <c:valAx>
        <c:axId val="134682496"/>
        <c:scaling>
          <c:orientation val="minMax"/>
          <c:max val="1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/>
                  <a:t>Time post infection (dpi)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685056"/>
        <c:crosses val="autoZero"/>
        <c:crossBetween val="midCat"/>
        <c:majorUnit val="2"/>
      </c:valAx>
      <c:valAx>
        <c:axId val="134685056"/>
        <c:scaling>
          <c:logBase val="10"/>
          <c:orientation val="minMax"/>
          <c:max val="1000000"/>
          <c:min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900" b="0" i="0" baseline="0">
                    <a:effectLst/>
                  </a:rPr>
                  <a:t>ratio (copies/PFU)</a:t>
                </a:r>
                <a:endParaRPr lang="en-US" sz="900" b="0">
                  <a:effectLst/>
                </a:endParaRPr>
              </a:p>
            </c:rich>
          </c:tx>
          <c:layout>
            <c:manualLayout>
              <c:xMode val="edge"/>
              <c:yMode val="edge"/>
              <c:x val="6.3999937798086355E-4"/>
              <c:y val="0.23912999247187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682496"/>
        <c:crosses val="autoZero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5158346417642"/>
          <c:y val="4.1299449971854293E-2"/>
          <c:w val="0.62907850177215907"/>
          <c:h val="0.70746152854924138"/>
        </c:manualLayout>
      </c:layout>
      <c:scatterChart>
        <c:scatterStyle val="lineMarker"/>
        <c:varyColors val="0"/>
        <c:ser>
          <c:idx val="0"/>
          <c:order val="0"/>
          <c:tx>
            <c:v>VB3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Parameters'!$AW$19:$AW$61</c:f>
              <c:numCache>
                <c:formatCode>0.00</c:formatCode>
                <c:ptCount val="43"/>
                <c:pt idx="0">
                  <c:v>-1.5277777776645962E-2</c:v>
                </c:pt>
                <c:pt idx="1">
                  <c:v>0.49652777778101154</c:v>
                </c:pt>
                <c:pt idx="2">
                  <c:v>0.98888888888905058</c:v>
                </c:pt>
                <c:pt idx="3">
                  <c:v>1.3965277777824667</c:v>
                </c:pt>
                <c:pt idx="4">
                  <c:v>2.0201388888890506</c:v>
                </c:pt>
                <c:pt idx="5">
                  <c:v>2.4937500000014552</c:v>
                </c:pt>
                <c:pt idx="6">
                  <c:v>2.9527777777839219</c:v>
                </c:pt>
                <c:pt idx="7">
                  <c:v>3.4597222222218988</c:v>
                </c:pt>
                <c:pt idx="8">
                  <c:v>4.0034722222262644</c:v>
                </c:pt>
                <c:pt idx="9">
                  <c:v>4.4701388888934162</c:v>
                </c:pt>
                <c:pt idx="10">
                  <c:v>5.0048611111124046</c:v>
                </c:pt>
                <c:pt idx="11">
                  <c:v>5.4756944444452529</c:v>
                </c:pt>
                <c:pt idx="12">
                  <c:v>5.9930555555547471</c:v>
                </c:pt>
                <c:pt idx="13">
                  <c:v>6.4895833333357587</c:v>
                </c:pt>
                <c:pt idx="14">
                  <c:v>6.9638888888948713</c:v>
                </c:pt>
                <c:pt idx="15">
                  <c:v>7.4152777777781012</c:v>
                </c:pt>
                <c:pt idx="16">
                  <c:v>7.953472222223354</c:v>
                </c:pt>
                <c:pt idx="17">
                  <c:v>8.4152777777781012</c:v>
                </c:pt>
                <c:pt idx="18">
                  <c:v>8.9638888888948713</c:v>
                </c:pt>
                <c:pt idx="19">
                  <c:v>9.4194444444437977</c:v>
                </c:pt>
                <c:pt idx="20">
                  <c:v>9.9666666666671517</c:v>
                </c:pt>
                <c:pt idx="21">
                  <c:v>10.427083333335759</c:v>
                </c:pt>
                <c:pt idx="22">
                  <c:v>10.961805555554747</c:v>
                </c:pt>
                <c:pt idx="23">
                  <c:v>11.420138888890506</c:v>
                </c:pt>
                <c:pt idx="24">
                  <c:v>11.970138888893416</c:v>
                </c:pt>
                <c:pt idx="25">
                  <c:v>12.431250000001455</c:v>
                </c:pt>
                <c:pt idx="26">
                  <c:v>12.972916666672972</c:v>
                </c:pt>
                <c:pt idx="27">
                  <c:v>13.500694444446708</c:v>
                </c:pt>
                <c:pt idx="28">
                  <c:v>13.98750000000291</c:v>
                </c:pt>
                <c:pt idx="29">
                  <c:v>14.435416666667152</c:v>
                </c:pt>
                <c:pt idx="30">
                  <c:v>14.974305555559113</c:v>
                </c:pt>
                <c:pt idx="31">
                  <c:v>15.447916666671517</c:v>
                </c:pt>
                <c:pt idx="32">
                  <c:v>16.011805555557657</c:v>
                </c:pt>
                <c:pt idx="33">
                  <c:v>16.481944444443798</c:v>
                </c:pt>
                <c:pt idx="34">
                  <c:v>16.965277777781012</c:v>
                </c:pt>
                <c:pt idx="35">
                  <c:v>17.447222222224809</c:v>
                </c:pt>
                <c:pt idx="36">
                  <c:v>18.000694444446708</c:v>
                </c:pt>
                <c:pt idx="37">
                  <c:v>18.447916666671517</c:v>
                </c:pt>
                <c:pt idx="38">
                  <c:v>18.981250000004366</c:v>
                </c:pt>
                <c:pt idx="39">
                  <c:v>19.476388888891961</c:v>
                </c:pt>
                <c:pt idx="40">
                  <c:v>19.990972222221899</c:v>
                </c:pt>
                <c:pt idx="41">
                  <c:v>20.443750000005821</c:v>
                </c:pt>
                <c:pt idx="42">
                  <c:v>20.995138888894871</c:v>
                </c:pt>
              </c:numCache>
            </c:numRef>
          </c:xVal>
          <c:yVal>
            <c:numRef>
              <c:f>'General Parameters'!$AZ$19:$AZ$61</c:f>
              <c:numCache>
                <c:formatCode>0.00E+00</c:formatCode>
                <c:ptCount val="43"/>
                <c:pt idx="0">
                  <c:v>280000</c:v>
                </c:pt>
                <c:pt idx="1">
                  <c:v>280000000</c:v>
                </c:pt>
                <c:pt idx="2">
                  <c:v>28000000</c:v>
                </c:pt>
                <c:pt idx="3">
                  <c:v>4000000</c:v>
                </c:pt>
                <c:pt idx="4">
                  <c:v>120000</c:v>
                </c:pt>
                <c:pt idx="5">
                  <c:v>12000</c:v>
                </c:pt>
                <c:pt idx="6">
                  <c:v>600</c:v>
                </c:pt>
                <c:pt idx="7">
                  <c:v>120</c:v>
                </c:pt>
                <c:pt idx="8">
                  <c:v>4</c:v>
                </c:pt>
                <c:pt idx="9">
                  <c:v>4000</c:v>
                </c:pt>
                <c:pt idx="10">
                  <c:v>80000000</c:v>
                </c:pt>
                <c:pt idx="11">
                  <c:v>1200000</c:v>
                </c:pt>
                <c:pt idx="12">
                  <c:v>4000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4</c:v>
                </c:pt>
                <c:pt idx="17">
                  <c:v>8</c:v>
                </c:pt>
                <c:pt idx="18">
                  <c:v>620000</c:v>
                </c:pt>
                <c:pt idx="19">
                  <c:v>48000000</c:v>
                </c:pt>
                <c:pt idx="20">
                  <c:v>480000</c:v>
                </c:pt>
                <c:pt idx="21">
                  <c:v>2000</c:v>
                </c:pt>
                <c:pt idx="22">
                  <c:v>800</c:v>
                </c:pt>
                <c:pt idx="23">
                  <c:v>120</c:v>
                </c:pt>
                <c:pt idx="24">
                  <c:v>12</c:v>
                </c:pt>
                <c:pt idx="25">
                  <c:v>4</c:v>
                </c:pt>
                <c:pt idx="26">
                  <c:v>20000</c:v>
                </c:pt>
                <c:pt idx="27">
                  <c:v>98000000</c:v>
                </c:pt>
                <c:pt idx="28">
                  <c:v>2000000</c:v>
                </c:pt>
                <c:pt idx="29">
                  <c:v>2800</c:v>
                </c:pt>
                <c:pt idx="30">
                  <c:v>360</c:v>
                </c:pt>
                <c:pt idx="31">
                  <c:v>8</c:v>
                </c:pt>
                <c:pt idx="32">
                  <c:v>4</c:v>
                </c:pt>
                <c:pt idx="33">
                  <c:v>8</c:v>
                </c:pt>
                <c:pt idx="34">
                  <c:v>240000</c:v>
                </c:pt>
                <c:pt idx="35">
                  <c:v>56000000</c:v>
                </c:pt>
                <c:pt idx="36">
                  <c:v>740000</c:v>
                </c:pt>
                <c:pt idx="37">
                  <c:v>2400</c:v>
                </c:pt>
                <c:pt idx="38">
                  <c:v>680</c:v>
                </c:pt>
                <c:pt idx="39">
                  <c:v>120</c:v>
                </c:pt>
                <c:pt idx="40">
                  <c:v>12</c:v>
                </c:pt>
                <c:pt idx="41">
                  <c:v>160</c:v>
                </c:pt>
                <c:pt idx="42">
                  <c:v>32000000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9-44A6-8AB4-043DDA549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03200"/>
        <c:axId val="134405504"/>
      </c:scatterChart>
      <c:scatterChart>
        <c:scatterStyle val="lineMarker"/>
        <c:varyColors val="0"/>
        <c:ser>
          <c:idx val="1"/>
          <c:order val="1"/>
          <c:tx>
            <c:v>VB1 vRNA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'General Parameters'!$BE$58:$BE$70</c:f>
              <c:numCache>
                <c:formatCode>General</c:formatCode>
                <c:ptCount val="13"/>
              </c:numCache>
            </c:numRef>
          </c:xVal>
          <c:yVal>
            <c:numRef>
              <c:f>'General Parameters'!$BF$58:$BF$70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99-44A6-8AB4-043DDA549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40416"/>
        <c:axId val="132138496"/>
      </c:scatterChart>
      <c:valAx>
        <c:axId val="134403200"/>
        <c:scaling>
          <c:orientation val="minMax"/>
          <c:max val="22"/>
          <c:min val="-2.0000000000000004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/>
                  <a:t>Cultivation time (dpi)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5504"/>
        <c:crosses val="autoZero"/>
        <c:crossBetween val="midCat"/>
        <c:majorUnit val="2"/>
      </c:valAx>
      <c:valAx>
        <c:axId val="134405504"/>
        <c:scaling>
          <c:logBase val="10"/>
          <c:orientation val="minMax"/>
          <c:max val="100000000000"/>
          <c:min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 i="0" baseline="0">
                    <a:effectLst/>
                  </a:rPr>
                  <a:t>Infectious virus titer (PFU/mL)</a:t>
                </a:r>
                <a:endParaRPr lang="en-US" sz="1100" b="1">
                  <a:effectLst/>
                </a:endParaRPr>
              </a:p>
            </c:rich>
          </c:tx>
          <c:layout>
            <c:manualLayout>
              <c:xMode val="edge"/>
              <c:yMode val="edge"/>
              <c:x val="9.9624243660992751E-3"/>
              <c:y val="0.142661430887030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3200"/>
        <c:crosses val="autoZero"/>
        <c:crossBetween val="midCat"/>
        <c:majorUnit val="1"/>
        <c:minorUnit val="1"/>
      </c:valAx>
      <c:valAx>
        <c:axId val="132138496"/>
        <c:scaling>
          <c:logBase val="10"/>
          <c:orientation val="minMax"/>
          <c:max val="1000000000000"/>
          <c:min val="1000"/>
        </c:scaling>
        <c:delete val="1"/>
        <c:axPos val="r"/>
        <c:numFmt formatCode="0E+00" sourceLinked="0"/>
        <c:majorTickMark val="out"/>
        <c:minorTickMark val="out"/>
        <c:tickLblPos val="nextTo"/>
        <c:crossAx val="132140416"/>
        <c:crosses val="max"/>
        <c:crossBetween val="midCat"/>
        <c:majorUnit val="10"/>
      </c:valAx>
      <c:valAx>
        <c:axId val="132140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1384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69053286943784"/>
          <c:y val="4.1299339396940339E-2"/>
          <c:w val="0.62333643526333593"/>
          <c:h val="0.70746152854924138"/>
        </c:manualLayout>
      </c:layout>
      <c:scatterChart>
        <c:scatterStyle val="lineMarker"/>
        <c:varyColors val="0"/>
        <c:ser>
          <c:idx val="0"/>
          <c:order val="0"/>
          <c:tx>
            <c:v>HA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Parameters'!$AX$13:$AX$61</c:f>
              <c:numCache>
                <c:formatCode>0.00</c:formatCode>
                <c:ptCount val="49"/>
                <c:pt idx="6">
                  <c:v>0</c:v>
                </c:pt>
                <c:pt idx="7">
                  <c:v>2.8482106250265735</c:v>
                </c:pt>
                <c:pt idx="8">
                  <c:v>3.0285543198458384</c:v>
                </c:pt>
                <c:pt idx="9">
                  <c:v>2.9437714894197282</c:v>
                </c:pt>
                <c:pt idx="10">
                  <c:v>3.287382644233432</c:v>
                </c:pt>
                <c:pt idx="11">
                  <c:v>2.7652953743794657</c:v>
                </c:pt>
                <c:pt idx="12">
                  <c:v>2.5828286084218162</c:v>
                </c:pt>
                <c:pt idx="13">
                  <c:v>2.2493140437258354</c:v>
                </c:pt>
                <c:pt idx="14">
                  <c:v>0</c:v>
                </c:pt>
                <c:pt idx="15">
                  <c:v>0</c:v>
                </c:pt>
                <c:pt idx="16">
                  <c:v>3.0319260039629761</c:v>
                </c:pt>
                <c:pt idx="17">
                  <c:v>3.077646496707247</c:v>
                </c:pt>
                <c:pt idx="18">
                  <c:v>2.4665641666531086</c:v>
                </c:pt>
                <c:pt idx="19">
                  <c:v>2.2444681150151902</c:v>
                </c:pt>
                <c:pt idx="20">
                  <c:v>2.2904932275918992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2.8220470689933506</c:v>
                </c:pt>
                <c:pt idx="26">
                  <c:v>2.6508735629582056</c:v>
                </c:pt>
                <c:pt idx="27">
                  <c:v>2.3978580833165482</c:v>
                </c:pt>
                <c:pt idx="28">
                  <c:v>2.2641628961527949</c:v>
                </c:pt>
                <c:pt idx="29">
                  <c:v>2.0402413189579471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2.7455866884518523</c:v>
                </c:pt>
                <c:pt idx="34">
                  <c:v>2.7404587317710005</c:v>
                </c:pt>
                <c:pt idx="35">
                  <c:v>2.1123435064369138</c:v>
                </c:pt>
                <c:pt idx="36">
                  <c:v>1.8298738957113723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2.6111219628700209</c:v>
                </c:pt>
                <c:pt idx="42">
                  <c:v>2.6344562536465874</c:v>
                </c:pt>
                <c:pt idx="43">
                  <c:v>1.7864895727749748</c:v>
                </c:pt>
                <c:pt idx="44">
                  <c:v>1.871580913847511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0-4A46-BED0-905FA0FF5C6E}"/>
            </c:ext>
          </c:extLst>
        </c:ser>
        <c:ser>
          <c:idx val="2"/>
          <c:order val="2"/>
          <c:tx>
            <c:v>LOQ HA</c:v>
          </c:tx>
          <c:spPr>
            <a:ln w="158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'General Parameters'!$AW$77:$AW$78</c:f>
              <c:numCache>
                <c:formatCode>General</c:formatCode>
                <c:ptCount val="2"/>
                <c:pt idx="0">
                  <c:v>-3.9034722222277196</c:v>
                </c:pt>
                <c:pt idx="1">
                  <c:v>24</c:v>
                </c:pt>
              </c:numCache>
            </c:numRef>
          </c:xVal>
          <c:yVal>
            <c:numRef>
              <c:f>'General Parameters'!$AX$77:$AX$78</c:f>
              <c:numCache>
                <c:formatCode>General</c:formatCode>
                <c:ptCount val="2"/>
                <c:pt idx="0">
                  <c:v>1.0900000000000001</c:v>
                </c:pt>
                <c:pt idx="1">
                  <c:v>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3-4846-B1EF-E75A2FE0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4832"/>
        <c:axId val="140043776"/>
      </c:scatterChart>
      <c:scatterChart>
        <c:scatterStyle val="lineMarker"/>
        <c:varyColors val="0"/>
        <c:ser>
          <c:idx val="1"/>
          <c:order val="1"/>
          <c:tx>
            <c:v>vRNA Seg5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Parameters'!$BB$13:$BB$61</c:f>
              <c:numCache>
                <c:formatCode>0.00E+00</c:formatCode>
                <c:ptCount val="49"/>
                <c:pt idx="6">
                  <c:v>12741057.110198367</c:v>
                </c:pt>
                <c:pt idx="7">
                  <c:v>39537182771.497398</c:v>
                </c:pt>
                <c:pt idx="8">
                  <c:v>77402830295.52858</c:v>
                </c:pt>
                <c:pt idx="9">
                  <c:v>52648236636.566238</c:v>
                </c:pt>
                <c:pt idx="10">
                  <c:v>34081081457.702351</c:v>
                </c:pt>
                <c:pt idx="11">
                  <c:v>10536992520.400543</c:v>
                </c:pt>
                <c:pt idx="12">
                  <c:v>3155732527.3763132</c:v>
                </c:pt>
                <c:pt idx="13">
                  <c:v>2271410820.0936904</c:v>
                </c:pt>
                <c:pt idx="14">
                  <c:v>902654978.95907044</c:v>
                </c:pt>
                <c:pt idx="15">
                  <c:v>369004898.58460248</c:v>
                </c:pt>
                <c:pt idx="16">
                  <c:v>27860443853.414368</c:v>
                </c:pt>
                <c:pt idx="17">
                  <c:v>36064663365.166519</c:v>
                </c:pt>
                <c:pt idx="18">
                  <c:v>11032618238.94775</c:v>
                </c:pt>
                <c:pt idx="19">
                  <c:v>7269186128.1305742</c:v>
                </c:pt>
                <c:pt idx="20">
                  <c:v>3223393899.0959516</c:v>
                </c:pt>
                <c:pt idx="21">
                  <c:v>2616477345.9776163</c:v>
                </c:pt>
                <c:pt idx="22">
                  <c:v>1054593765.3590542</c:v>
                </c:pt>
                <c:pt idx="23">
                  <c:v>319209134.52352667</c:v>
                </c:pt>
                <c:pt idx="24">
                  <c:v>233030594.69762743</c:v>
                </c:pt>
                <c:pt idx="25">
                  <c:v>60219071364.778267</c:v>
                </c:pt>
                <c:pt idx="26">
                  <c:v>23594893254.624023</c:v>
                </c:pt>
                <c:pt idx="27">
                  <c:v>15436688873.541931</c:v>
                </c:pt>
                <c:pt idx="28">
                  <c:v>7016660552.0923557</c:v>
                </c:pt>
                <c:pt idx="29">
                  <c:v>3508860905.8244348</c:v>
                </c:pt>
                <c:pt idx="30">
                  <c:v>2437846376.2476072</c:v>
                </c:pt>
                <c:pt idx="31">
                  <c:v>647413503.88917148</c:v>
                </c:pt>
                <c:pt idx="32">
                  <c:v>279077668.7529217</c:v>
                </c:pt>
                <c:pt idx="33">
                  <c:v>24617525898.371544</c:v>
                </c:pt>
                <c:pt idx="34">
                  <c:v>18684130444.242256</c:v>
                </c:pt>
                <c:pt idx="35">
                  <c:v>7294933233.0366392</c:v>
                </c:pt>
                <c:pt idx="36">
                  <c:v>3363099885.0183973</c:v>
                </c:pt>
                <c:pt idx="37">
                  <c:v>1290061860.1444962</c:v>
                </c:pt>
                <c:pt idx="38">
                  <c:v>479359695.1066615</c:v>
                </c:pt>
                <c:pt idx="39">
                  <c:v>142552213.59218314</c:v>
                </c:pt>
                <c:pt idx="40">
                  <c:v>83286204.084168479</c:v>
                </c:pt>
                <c:pt idx="41">
                  <c:v>42886732727.239349</c:v>
                </c:pt>
                <c:pt idx="42">
                  <c:v>22855894722.528561</c:v>
                </c:pt>
                <c:pt idx="43">
                  <c:v>5195295190.3420792</c:v>
                </c:pt>
                <c:pt idx="44">
                  <c:v>380935916.01798624</c:v>
                </c:pt>
                <c:pt idx="45">
                  <c:v>730112609.58725798</c:v>
                </c:pt>
                <c:pt idx="46">
                  <c:v>475911052.1430006</c:v>
                </c:pt>
                <c:pt idx="47">
                  <c:v>172191278.28572243</c:v>
                </c:pt>
                <c:pt idx="48">
                  <c:v>3447938552.2633128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C0-4A46-BED0-905FA0FF5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501848"/>
        <c:axId val="457495944"/>
      </c:scatterChart>
      <c:valAx>
        <c:axId val="140024832"/>
        <c:scaling>
          <c:orientation val="minMax"/>
          <c:max val="22"/>
          <c:min val="-2.0000000000000004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 i="0" u="none" strike="noStrike" baseline="0">
                    <a:effectLst/>
                  </a:rPr>
                  <a:t>Cultivation time (dpi)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043776"/>
        <c:crosses val="autoZero"/>
        <c:crossBetween val="midCat"/>
        <c:majorUnit val="2"/>
      </c:valAx>
      <c:valAx>
        <c:axId val="1400437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 i="0" u="none" strike="noStrike" baseline="0">
                    <a:effectLst/>
                  </a:rPr>
                  <a:t>HA (</a:t>
                </a:r>
                <a:r>
                  <a:rPr lang="en-US" sz="1100" b="1" i="0" u="none" strike="noStrike" baseline="0">
                    <a:effectLst/>
                  </a:rPr>
                  <a:t>log</a:t>
                </a:r>
                <a:r>
                  <a:rPr lang="en-US" sz="1100" b="1" i="0" u="none" strike="noStrike" baseline="-25000">
                    <a:effectLst/>
                  </a:rPr>
                  <a:t>10</a:t>
                </a:r>
                <a:r>
                  <a:rPr lang="en-US" sz="1100" b="1" i="0" u="none" strike="noStrike" baseline="0">
                    <a:effectLst/>
                  </a:rPr>
                  <a:t>(HAU/100µL))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4.8570649508064154E-2"/>
              <c:y val="0.16677857128324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024832"/>
        <c:crosses val="autoZero"/>
        <c:crossBetween val="midCat"/>
        <c:majorUnit val="0.5"/>
        <c:minorUnit val="0.1"/>
      </c:valAx>
      <c:valAx>
        <c:axId val="457495944"/>
        <c:scaling>
          <c:logBase val="10"/>
          <c:orientation val="minMax"/>
          <c:max val="10000000000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 i="0" u="none" strike="noStrike" baseline="0">
                    <a:effectLst/>
                  </a:rPr>
                  <a:t>vRNA Segment 5 (copies/mL)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0.92297084414802422"/>
              <c:y val="0.15594322027576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7501848"/>
        <c:crosses val="max"/>
        <c:crossBetween val="midCat"/>
      </c:valAx>
      <c:valAx>
        <c:axId val="457501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74959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4352885772386781"/>
          <c:y val="0.85168202811857818"/>
          <c:w val="0.62643764814617187"/>
          <c:h val="0.12695463454665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5158346417642"/>
          <c:y val="4.1299449971854293E-2"/>
          <c:w val="0.62907850177215907"/>
          <c:h val="0.70746152854924138"/>
        </c:manualLayout>
      </c:layout>
      <c:scatterChart>
        <c:scatterStyle val="lineMarker"/>
        <c:varyColors val="0"/>
        <c:ser>
          <c:idx val="0"/>
          <c:order val="0"/>
          <c:tx>
            <c:v>VB3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Parameters'!$AW$19:$AW$61</c:f>
              <c:numCache>
                <c:formatCode>0.00</c:formatCode>
                <c:ptCount val="43"/>
                <c:pt idx="0">
                  <c:v>-1.5277777776645962E-2</c:v>
                </c:pt>
                <c:pt idx="1">
                  <c:v>0.49652777778101154</c:v>
                </c:pt>
                <c:pt idx="2">
                  <c:v>0.98888888888905058</c:v>
                </c:pt>
                <c:pt idx="3">
                  <c:v>1.3965277777824667</c:v>
                </c:pt>
                <c:pt idx="4">
                  <c:v>2.0201388888890506</c:v>
                </c:pt>
                <c:pt idx="5">
                  <c:v>2.4937500000014552</c:v>
                </c:pt>
                <c:pt idx="6">
                  <c:v>2.9527777777839219</c:v>
                </c:pt>
                <c:pt idx="7">
                  <c:v>3.4597222222218988</c:v>
                </c:pt>
                <c:pt idx="8">
                  <c:v>4.0034722222262644</c:v>
                </c:pt>
                <c:pt idx="9">
                  <c:v>4.4701388888934162</c:v>
                </c:pt>
                <c:pt idx="10">
                  <c:v>5.0048611111124046</c:v>
                </c:pt>
                <c:pt idx="11">
                  <c:v>5.4756944444452529</c:v>
                </c:pt>
                <c:pt idx="12">
                  <c:v>5.9930555555547471</c:v>
                </c:pt>
                <c:pt idx="13">
                  <c:v>6.4895833333357587</c:v>
                </c:pt>
                <c:pt idx="14">
                  <c:v>6.9638888888948713</c:v>
                </c:pt>
                <c:pt idx="15">
                  <c:v>7.4152777777781012</c:v>
                </c:pt>
                <c:pt idx="16">
                  <c:v>7.953472222223354</c:v>
                </c:pt>
                <c:pt idx="17">
                  <c:v>8.4152777777781012</c:v>
                </c:pt>
                <c:pt idx="18">
                  <c:v>8.9638888888948713</c:v>
                </c:pt>
                <c:pt idx="19">
                  <c:v>9.4194444444437977</c:v>
                </c:pt>
                <c:pt idx="20">
                  <c:v>9.9666666666671517</c:v>
                </c:pt>
                <c:pt idx="21">
                  <c:v>10.427083333335759</c:v>
                </c:pt>
                <c:pt idx="22">
                  <c:v>10.961805555554747</c:v>
                </c:pt>
                <c:pt idx="23">
                  <c:v>11.420138888890506</c:v>
                </c:pt>
                <c:pt idx="24">
                  <c:v>11.970138888893416</c:v>
                </c:pt>
                <c:pt idx="25">
                  <c:v>12.431250000001455</c:v>
                </c:pt>
                <c:pt idx="26">
                  <c:v>12.972916666672972</c:v>
                </c:pt>
                <c:pt idx="27">
                  <c:v>13.500694444446708</c:v>
                </c:pt>
                <c:pt idx="28">
                  <c:v>13.98750000000291</c:v>
                </c:pt>
                <c:pt idx="29">
                  <c:v>14.435416666667152</c:v>
                </c:pt>
                <c:pt idx="30">
                  <c:v>14.974305555559113</c:v>
                </c:pt>
                <c:pt idx="31">
                  <c:v>15.447916666671517</c:v>
                </c:pt>
                <c:pt idx="32">
                  <c:v>16.011805555557657</c:v>
                </c:pt>
                <c:pt idx="33">
                  <c:v>16.481944444443798</c:v>
                </c:pt>
                <c:pt idx="34">
                  <c:v>16.965277777781012</c:v>
                </c:pt>
                <c:pt idx="35">
                  <c:v>17.447222222224809</c:v>
                </c:pt>
                <c:pt idx="36">
                  <c:v>18.000694444446708</c:v>
                </c:pt>
                <c:pt idx="37">
                  <c:v>18.447916666671517</c:v>
                </c:pt>
                <c:pt idx="38">
                  <c:v>18.981250000004366</c:v>
                </c:pt>
                <c:pt idx="39">
                  <c:v>19.476388888891961</c:v>
                </c:pt>
                <c:pt idx="40">
                  <c:v>19.990972222221899</c:v>
                </c:pt>
                <c:pt idx="41">
                  <c:v>20.443750000005821</c:v>
                </c:pt>
                <c:pt idx="42">
                  <c:v>20.995138888894871</c:v>
                </c:pt>
              </c:numCache>
            </c:numRef>
          </c:xVal>
          <c:yVal>
            <c:numRef>
              <c:f>'General Parameters'!$BA$19:$BA$61</c:f>
              <c:numCache>
                <c:formatCode>0.00E+00</c:formatCode>
                <c:ptCount val="43"/>
                <c:pt idx="0">
                  <c:v>240000</c:v>
                </c:pt>
                <c:pt idx="1">
                  <c:v>560000000</c:v>
                </c:pt>
                <c:pt idx="2">
                  <c:v>56000000</c:v>
                </c:pt>
                <c:pt idx="3">
                  <c:v>18000000</c:v>
                </c:pt>
                <c:pt idx="4">
                  <c:v>560000</c:v>
                </c:pt>
                <c:pt idx="5">
                  <c:v>130000</c:v>
                </c:pt>
                <c:pt idx="6">
                  <c:v>24000</c:v>
                </c:pt>
                <c:pt idx="7">
                  <c:v>3200</c:v>
                </c:pt>
                <c:pt idx="8">
                  <c:v>42</c:v>
                </c:pt>
                <c:pt idx="9">
                  <c:v>7600</c:v>
                </c:pt>
                <c:pt idx="10">
                  <c:v>32000000</c:v>
                </c:pt>
                <c:pt idx="11">
                  <c:v>5600000</c:v>
                </c:pt>
                <c:pt idx="12">
                  <c:v>760000</c:v>
                </c:pt>
                <c:pt idx="13">
                  <c:v>1300000</c:v>
                </c:pt>
                <c:pt idx="14">
                  <c:v>56000</c:v>
                </c:pt>
                <c:pt idx="15">
                  <c:v>10000</c:v>
                </c:pt>
                <c:pt idx="16">
                  <c:v>1300</c:v>
                </c:pt>
                <c:pt idx="17">
                  <c:v>0</c:v>
                </c:pt>
                <c:pt idx="18">
                  <c:v>3200000</c:v>
                </c:pt>
                <c:pt idx="19">
                  <c:v>43000000</c:v>
                </c:pt>
                <c:pt idx="20">
                  <c:v>4300000</c:v>
                </c:pt>
                <c:pt idx="21">
                  <c:v>3200000</c:v>
                </c:pt>
                <c:pt idx="22">
                  <c:v>430000</c:v>
                </c:pt>
                <c:pt idx="23">
                  <c:v>130000</c:v>
                </c:pt>
                <c:pt idx="24">
                  <c:v>24000</c:v>
                </c:pt>
                <c:pt idx="25">
                  <c:v>1300</c:v>
                </c:pt>
                <c:pt idx="26">
                  <c:v>32000</c:v>
                </c:pt>
                <c:pt idx="27">
                  <c:v>180000000</c:v>
                </c:pt>
                <c:pt idx="28">
                  <c:v>4300000</c:v>
                </c:pt>
                <c:pt idx="29">
                  <c:v>1800000</c:v>
                </c:pt>
                <c:pt idx="30">
                  <c:v>760000</c:v>
                </c:pt>
                <c:pt idx="31">
                  <c:v>56000</c:v>
                </c:pt>
                <c:pt idx="32">
                  <c:v>3200</c:v>
                </c:pt>
                <c:pt idx="33">
                  <c:v>430</c:v>
                </c:pt>
                <c:pt idx="34">
                  <c:v>560000</c:v>
                </c:pt>
                <c:pt idx="35">
                  <c:v>180000000</c:v>
                </c:pt>
                <c:pt idx="36">
                  <c:v>7600000</c:v>
                </c:pt>
                <c:pt idx="37">
                  <c:v>1000000</c:v>
                </c:pt>
                <c:pt idx="38">
                  <c:v>560000</c:v>
                </c:pt>
                <c:pt idx="39">
                  <c:v>56000</c:v>
                </c:pt>
                <c:pt idx="40">
                  <c:v>5600</c:v>
                </c:pt>
                <c:pt idx="41">
                  <c:v>1300</c:v>
                </c:pt>
                <c:pt idx="42">
                  <c:v>76000000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C4-4727-848F-199044B8F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03200"/>
        <c:axId val="134405504"/>
      </c:scatterChart>
      <c:valAx>
        <c:axId val="134403200"/>
        <c:scaling>
          <c:orientation val="minMax"/>
          <c:max val="22"/>
          <c:min val="-2.0000000000000004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/>
                  <a:t>Cultivation time (dpi)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5504"/>
        <c:crosses val="autoZero"/>
        <c:crossBetween val="midCat"/>
        <c:majorUnit val="2"/>
      </c:valAx>
      <c:valAx>
        <c:axId val="134405504"/>
        <c:scaling>
          <c:logBase val="10"/>
          <c:orientation val="minMax"/>
          <c:max val="1000000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 i="0" baseline="0">
                    <a:effectLst/>
                  </a:rPr>
                  <a:t>Infectious virus titer (TCID50/mL)</a:t>
                </a:r>
                <a:endParaRPr lang="en-US" sz="1100" b="1">
                  <a:effectLst/>
                </a:endParaRPr>
              </a:p>
            </c:rich>
          </c:tx>
          <c:layout>
            <c:manualLayout>
              <c:xMode val="edge"/>
              <c:yMode val="edge"/>
              <c:x val="9.9625245590000758E-3"/>
              <c:y val="0.115098984719933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3200"/>
        <c:crosses val="autoZero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5158346417642"/>
          <c:y val="4.1299449971854293E-2"/>
          <c:w val="0.62907850177215907"/>
          <c:h val="0.70746152854924138"/>
        </c:manualLayout>
      </c:layout>
      <c:scatterChart>
        <c:scatterStyle val="lineMarker"/>
        <c:varyColors val="0"/>
        <c:ser>
          <c:idx val="1"/>
          <c:order val="1"/>
          <c:tx>
            <c:v>vRNA Seg 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>
                    <a:alpha val="94000"/>
                  </a:schemeClr>
                </a:solidFill>
              </a:ln>
              <a:effectLst/>
            </c:spPr>
          </c:marker>
          <c:xVal>
            <c:numRef>
              <c:f>'General Parameters'!$AW$19:$AW$61</c:f>
              <c:numCache>
                <c:formatCode>0.00</c:formatCode>
                <c:ptCount val="43"/>
                <c:pt idx="0">
                  <c:v>-1.5277777776645962E-2</c:v>
                </c:pt>
                <c:pt idx="1">
                  <c:v>0.49652777778101154</c:v>
                </c:pt>
                <c:pt idx="2">
                  <c:v>0.98888888888905058</c:v>
                </c:pt>
                <c:pt idx="3">
                  <c:v>1.3965277777824667</c:v>
                </c:pt>
                <c:pt idx="4">
                  <c:v>2.0201388888890506</c:v>
                </c:pt>
                <c:pt idx="5">
                  <c:v>2.4937500000014552</c:v>
                </c:pt>
                <c:pt idx="6">
                  <c:v>2.9527777777839219</c:v>
                </c:pt>
                <c:pt idx="7">
                  <c:v>3.4597222222218988</c:v>
                </c:pt>
                <c:pt idx="8">
                  <c:v>4.0034722222262644</c:v>
                </c:pt>
                <c:pt idx="9">
                  <c:v>4.4701388888934162</c:v>
                </c:pt>
                <c:pt idx="10">
                  <c:v>5.0048611111124046</c:v>
                </c:pt>
                <c:pt idx="11">
                  <c:v>5.4756944444452529</c:v>
                </c:pt>
                <c:pt idx="12">
                  <c:v>5.9930555555547471</c:v>
                </c:pt>
                <c:pt idx="13">
                  <c:v>6.4895833333357587</c:v>
                </c:pt>
                <c:pt idx="14">
                  <c:v>6.9638888888948713</c:v>
                </c:pt>
                <c:pt idx="15">
                  <c:v>7.4152777777781012</c:v>
                </c:pt>
                <c:pt idx="16">
                  <c:v>7.953472222223354</c:v>
                </c:pt>
                <c:pt idx="17">
                  <c:v>8.4152777777781012</c:v>
                </c:pt>
                <c:pt idx="18">
                  <c:v>8.9638888888948713</c:v>
                </c:pt>
                <c:pt idx="19">
                  <c:v>9.4194444444437977</c:v>
                </c:pt>
                <c:pt idx="20">
                  <c:v>9.9666666666671517</c:v>
                </c:pt>
                <c:pt idx="21">
                  <c:v>10.427083333335759</c:v>
                </c:pt>
                <c:pt idx="22">
                  <c:v>10.961805555554747</c:v>
                </c:pt>
                <c:pt idx="23">
                  <c:v>11.420138888890506</c:v>
                </c:pt>
                <c:pt idx="24">
                  <c:v>11.970138888893416</c:v>
                </c:pt>
                <c:pt idx="25">
                  <c:v>12.431250000001455</c:v>
                </c:pt>
                <c:pt idx="26">
                  <c:v>12.972916666672972</c:v>
                </c:pt>
                <c:pt idx="27">
                  <c:v>13.500694444446708</c:v>
                </c:pt>
                <c:pt idx="28">
                  <c:v>13.98750000000291</c:v>
                </c:pt>
                <c:pt idx="29">
                  <c:v>14.435416666667152</c:v>
                </c:pt>
                <c:pt idx="30">
                  <c:v>14.974305555559113</c:v>
                </c:pt>
                <c:pt idx="31">
                  <c:v>15.447916666671517</c:v>
                </c:pt>
                <c:pt idx="32">
                  <c:v>16.011805555557657</c:v>
                </c:pt>
                <c:pt idx="33">
                  <c:v>16.481944444443798</c:v>
                </c:pt>
                <c:pt idx="34">
                  <c:v>16.965277777781012</c:v>
                </c:pt>
                <c:pt idx="35">
                  <c:v>17.447222222224809</c:v>
                </c:pt>
                <c:pt idx="36">
                  <c:v>18.000694444446708</c:v>
                </c:pt>
                <c:pt idx="37">
                  <c:v>18.447916666671517</c:v>
                </c:pt>
                <c:pt idx="38">
                  <c:v>18.981250000004366</c:v>
                </c:pt>
                <c:pt idx="39">
                  <c:v>19.476388888891961</c:v>
                </c:pt>
                <c:pt idx="40">
                  <c:v>19.990972222221899</c:v>
                </c:pt>
                <c:pt idx="41">
                  <c:v>20.443750000005821</c:v>
                </c:pt>
                <c:pt idx="42">
                  <c:v>20.995138888894871</c:v>
                </c:pt>
              </c:numCache>
            </c:numRef>
          </c:xVal>
          <c:yVal>
            <c:numRef>
              <c:f>'General Parameters'!$BB$19:$BB$61</c:f>
              <c:numCache>
                <c:formatCode>0.00E+00</c:formatCode>
                <c:ptCount val="43"/>
                <c:pt idx="0">
                  <c:v>12741057.110198367</c:v>
                </c:pt>
                <c:pt idx="1">
                  <c:v>39537182771.497398</c:v>
                </c:pt>
                <c:pt idx="2">
                  <c:v>77402830295.52858</c:v>
                </c:pt>
                <c:pt idx="3">
                  <c:v>52648236636.566238</c:v>
                </c:pt>
                <c:pt idx="4">
                  <c:v>34081081457.702351</c:v>
                </c:pt>
                <c:pt idx="5">
                  <c:v>10536992520.400543</c:v>
                </c:pt>
                <c:pt idx="6">
                  <c:v>3155732527.3763132</c:v>
                </c:pt>
                <c:pt idx="7">
                  <c:v>2271410820.0936904</c:v>
                </c:pt>
                <c:pt idx="8">
                  <c:v>902654978.95907044</c:v>
                </c:pt>
                <c:pt idx="9">
                  <c:v>369004898.58460248</c:v>
                </c:pt>
                <c:pt idx="10">
                  <c:v>27860443853.414368</c:v>
                </c:pt>
                <c:pt idx="11">
                  <c:v>36064663365.166519</c:v>
                </c:pt>
                <c:pt idx="12">
                  <c:v>11032618238.94775</c:v>
                </c:pt>
                <c:pt idx="13">
                  <c:v>7269186128.1305742</c:v>
                </c:pt>
                <c:pt idx="14">
                  <c:v>3223393899.0959516</c:v>
                </c:pt>
                <c:pt idx="15">
                  <c:v>2616477345.9776163</c:v>
                </c:pt>
                <c:pt idx="16">
                  <c:v>1054593765.3590542</c:v>
                </c:pt>
                <c:pt idx="17">
                  <c:v>319209134.52352667</c:v>
                </c:pt>
                <c:pt idx="18">
                  <c:v>233030594.69762743</c:v>
                </c:pt>
                <c:pt idx="19">
                  <c:v>60219071364.778267</c:v>
                </c:pt>
                <c:pt idx="20">
                  <c:v>23594893254.624023</c:v>
                </c:pt>
                <c:pt idx="21">
                  <c:v>15436688873.541931</c:v>
                </c:pt>
                <c:pt idx="22">
                  <c:v>7016660552.0923557</c:v>
                </c:pt>
                <c:pt idx="23">
                  <c:v>3508860905.8244348</c:v>
                </c:pt>
                <c:pt idx="24">
                  <c:v>2437846376.2476072</c:v>
                </c:pt>
                <c:pt idx="25">
                  <c:v>647413503.88917148</c:v>
                </c:pt>
                <c:pt idx="26">
                  <c:v>279077668.7529217</c:v>
                </c:pt>
                <c:pt idx="27">
                  <c:v>24617525898.371544</c:v>
                </c:pt>
                <c:pt idx="28">
                  <c:v>18684130444.242256</c:v>
                </c:pt>
                <c:pt idx="29">
                  <c:v>7294933233.0366392</c:v>
                </c:pt>
                <c:pt idx="30">
                  <c:v>3363099885.0183973</c:v>
                </c:pt>
                <c:pt idx="31">
                  <c:v>1290061860.1444962</c:v>
                </c:pt>
                <c:pt idx="32">
                  <c:v>479359695.1066615</c:v>
                </c:pt>
                <c:pt idx="33">
                  <c:v>142552213.59218314</c:v>
                </c:pt>
                <c:pt idx="34">
                  <c:v>83286204.084168479</c:v>
                </c:pt>
                <c:pt idx="35">
                  <c:v>42886732727.239349</c:v>
                </c:pt>
                <c:pt idx="36">
                  <c:v>22855894722.528561</c:v>
                </c:pt>
                <c:pt idx="37">
                  <c:v>5195295190.3420792</c:v>
                </c:pt>
                <c:pt idx="38">
                  <c:v>380935916.01798624</c:v>
                </c:pt>
                <c:pt idx="39">
                  <c:v>730112609.58725798</c:v>
                </c:pt>
                <c:pt idx="40">
                  <c:v>475911052.1430006</c:v>
                </c:pt>
                <c:pt idx="41">
                  <c:v>172191278.28572243</c:v>
                </c:pt>
                <c:pt idx="42">
                  <c:v>3447938552.2633128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81-4A59-BA78-1C3A411BC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03200"/>
        <c:axId val="134405504"/>
      </c:scatterChart>
      <c:scatterChart>
        <c:scatterStyle val="lineMarker"/>
        <c:varyColors val="0"/>
        <c:ser>
          <c:idx val="0"/>
          <c:order val="0"/>
          <c:tx>
            <c:v>TCID50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Parameters'!$AW$19:$AW$61</c:f>
              <c:numCache>
                <c:formatCode>0.00</c:formatCode>
                <c:ptCount val="43"/>
                <c:pt idx="0">
                  <c:v>-1.5277777776645962E-2</c:v>
                </c:pt>
                <c:pt idx="1">
                  <c:v>0.49652777778101154</c:v>
                </c:pt>
                <c:pt idx="2">
                  <c:v>0.98888888888905058</c:v>
                </c:pt>
                <c:pt idx="3">
                  <c:v>1.3965277777824667</c:v>
                </c:pt>
                <c:pt idx="4">
                  <c:v>2.0201388888890506</c:v>
                </c:pt>
                <c:pt idx="5">
                  <c:v>2.4937500000014552</c:v>
                </c:pt>
                <c:pt idx="6">
                  <c:v>2.9527777777839219</c:v>
                </c:pt>
                <c:pt idx="7">
                  <c:v>3.4597222222218988</c:v>
                </c:pt>
                <c:pt idx="8">
                  <c:v>4.0034722222262644</c:v>
                </c:pt>
                <c:pt idx="9">
                  <c:v>4.4701388888934162</c:v>
                </c:pt>
                <c:pt idx="10">
                  <c:v>5.0048611111124046</c:v>
                </c:pt>
                <c:pt idx="11">
                  <c:v>5.4756944444452529</c:v>
                </c:pt>
                <c:pt idx="12">
                  <c:v>5.9930555555547471</c:v>
                </c:pt>
                <c:pt idx="13">
                  <c:v>6.4895833333357587</c:v>
                </c:pt>
                <c:pt idx="14">
                  <c:v>6.9638888888948713</c:v>
                </c:pt>
                <c:pt idx="15">
                  <c:v>7.4152777777781012</c:v>
                </c:pt>
                <c:pt idx="16">
                  <c:v>7.953472222223354</c:v>
                </c:pt>
                <c:pt idx="17">
                  <c:v>8.4152777777781012</c:v>
                </c:pt>
                <c:pt idx="18">
                  <c:v>8.9638888888948713</c:v>
                </c:pt>
                <c:pt idx="19">
                  <c:v>9.4194444444437977</c:v>
                </c:pt>
                <c:pt idx="20">
                  <c:v>9.9666666666671517</c:v>
                </c:pt>
                <c:pt idx="21">
                  <c:v>10.427083333335759</c:v>
                </c:pt>
                <c:pt idx="22">
                  <c:v>10.961805555554747</c:v>
                </c:pt>
                <c:pt idx="23">
                  <c:v>11.420138888890506</c:v>
                </c:pt>
                <c:pt idx="24">
                  <c:v>11.970138888893416</c:v>
                </c:pt>
                <c:pt idx="25">
                  <c:v>12.431250000001455</c:v>
                </c:pt>
                <c:pt idx="26">
                  <c:v>12.972916666672972</c:v>
                </c:pt>
                <c:pt idx="27">
                  <c:v>13.500694444446708</c:v>
                </c:pt>
                <c:pt idx="28">
                  <c:v>13.98750000000291</c:v>
                </c:pt>
                <c:pt idx="29">
                  <c:v>14.435416666667152</c:v>
                </c:pt>
                <c:pt idx="30">
                  <c:v>14.974305555559113</c:v>
                </c:pt>
                <c:pt idx="31">
                  <c:v>15.447916666671517</c:v>
                </c:pt>
                <c:pt idx="32">
                  <c:v>16.011805555557657</c:v>
                </c:pt>
                <c:pt idx="33">
                  <c:v>16.481944444443798</c:v>
                </c:pt>
                <c:pt idx="34">
                  <c:v>16.965277777781012</c:v>
                </c:pt>
                <c:pt idx="35">
                  <c:v>17.447222222224809</c:v>
                </c:pt>
                <c:pt idx="36">
                  <c:v>18.000694444446708</c:v>
                </c:pt>
                <c:pt idx="37">
                  <c:v>18.447916666671517</c:v>
                </c:pt>
                <c:pt idx="38">
                  <c:v>18.981250000004366</c:v>
                </c:pt>
                <c:pt idx="39">
                  <c:v>19.476388888891961</c:v>
                </c:pt>
                <c:pt idx="40">
                  <c:v>19.990972222221899</c:v>
                </c:pt>
                <c:pt idx="41">
                  <c:v>20.443750000005821</c:v>
                </c:pt>
                <c:pt idx="42">
                  <c:v>20.995138888894871</c:v>
                </c:pt>
              </c:numCache>
            </c:numRef>
          </c:xVal>
          <c:yVal>
            <c:numRef>
              <c:f>'General Parameters'!$BA$19:$BA$61</c:f>
              <c:numCache>
                <c:formatCode>0.00E+00</c:formatCode>
                <c:ptCount val="43"/>
                <c:pt idx="0">
                  <c:v>240000</c:v>
                </c:pt>
                <c:pt idx="1">
                  <c:v>560000000</c:v>
                </c:pt>
                <c:pt idx="2">
                  <c:v>56000000</c:v>
                </c:pt>
                <c:pt idx="3">
                  <c:v>18000000</c:v>
                </c:pt>
                <c:pt idx="4">
                  <c:v>560000</c:v>
                </c:pt>
                <c:pt idx="5">
                  <c:v>130000</c:v>
                </c:pt>
                <c:pt idx="6">
                  <c:v>24000</c:v>
                </c:pt>
                <c:pt idx="7">
                  <c:v>3200</c:v>
                </c:pt>
                <c:pt idx="8">
                  <c:v>42</c:v>
                </c:pt>
                <c:pt idx="9">
                  <c:v>7600</c:v>
                </c:pt>
                <c:pt idx="10">
                  <c:v>32000000</c:v>
                </c:pt>
                <c:pt idx="11">
                  <c:v>5600000</c:v>
                </c:pt>
                <c:pt idx="12">
                  <c:v>760000</c:v>
                </c:pt>
                <c:pt idx="13">
                  <c:v>1300000</c:v>
                </c:pt>
                <c:pt idx="14">
                  <c:v>56000</c:v>
                </c:pt>
                <c:pt idx="15">
                  <c:v>10000</c:v>
                </c:pt>
                <c:pt idx="16">
                  <c:v>1300</c:v>
                </c:pt>
                <c:pt idx="17">
                  <c:v>0</c:v>
                </c:pt>
                <c:pt idx="18">
                  <c:v>3200000</c:v>
                </c:pt>
                <c:pt idx="19">
                  <c:v>43000000</c:v>
                </c:pt>
                <c:pt idx="20">
                  <c:v>4300000</c:v>
                </c:pt>
                <c:pt idx="21">
                  <c:v>3200000</c:v>
                </c:pt>
                <c:pt idx="22">
                  <c:v>430000</c:v>
                </c:pt>
                <c:pt idx="23">
                  <c:v>130000</c:v>
                </c:pt>
                <c:pt idx="24">
                  <c:v>24000</c:v>
                </c:pt>
                <c:pt idx="25">
                  <c:v>1300</c:v>
                </c:pt>
                <c:pt idx="26">
                  <c:v>32000</c:v>
                </c:pt>
                <c:pt idx="27">
                  <c:v>180000000</c:v>
                </c:pt>
                <c:pt idx="28">
                  <c:v>4300000</c:v>
                </c:pt>
                <c:pt idx="29">
                  <c:v>1800000</c:v>
                </c:pt>
                <c:pt idx="30">
                  <c:v>760000</c:v>
                </c:pt>
                <c:pt idx="31">
                  <c:v>56000</c:v>
                </c:pt>
                <c:pt idx="32">
                  <c:v>3200</c:v>
                </c:pt>
                <c:pt idx="33">
                  <c:v>430</c:v>
                </c:pt>
                <c:pt idx="34">
                  <c:v>560000</c:v>
                </c:pt>
                <c:pt idx="35">
                  <c:v>180000000</c:v>
                </c:pt>
                <c:pt idx="36">
                  <c:v>7600000</c:v>
                </c:pt>
                <c:pt idx="37">
                  <c:v>1000000</c:v>
                </c:pt>
                <c:pt idx="38">
                  <c:v>560000</c:v>
                </c:pt>
                <c:pt idx="39">
                  <c:v>56000</c:v>
                </c:pt>
                <c:pt idx="40">
                  <c:v>5600</c:v>
                </c:pt>
                <c:pt idx="41">
                  <c:v>1300</c:v>
                </c:pt>
                <c:pt idx="42">
                  <c:v>76000000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1-4A59-BA78-1C3A411BC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36872"/>
        <c:axId val="467722960"/>
      </c:scatterChart>
      <c:valAx>
        <c:axId val="134403200"/>
        <c:scaling>
          <c:orientation val="minMax"/>
          <c:max val="22"/>
          <c:min val="-2.0000000000000004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/>
                  <a:t>Cultivation</a:t>
                </a:r>
                <a:r>
                  <a:rPr lang="de-DE" sz="1100" b="1" baseline="0"/>
                  <a:t> time (dpi)</a:t>
                </a:r>
                <a:endParaRPr lang="de-DE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5504"/>
        <c:crosses val="autoZero"/>
        <c:crossBetween val="midCat"/>
        <c:majorUnit val="2"/>
      </c:valAx>
      <c:valAx>
        <c:axId val="134405504"/>
        <c:scaling>
          <c:logBase val="10"/>
          <c:orientation val="minMax"/>
          <c:max val="1000000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/>
                  <a:t>vRNA</a:t>
                </a:r>
                <a:r>
                  <a:rPr lang="de-DE" sz="1100" b="1" baseline="0"/>
                  <a:t> Segment 5 (copies/mL)</a:t>
                </a:r>
                <a:endParaRPr lang="de-DE" sz="1100" b="1"/>
              </a:p>
            </c:rich>
          </c:tx>
          <c:layout>
            <c:manualLayout>
              <c:xMode val="edge"/>
              <c:yMode val="edge"/>
              <c:x val="2.0201677397711629E-2"/>
              <c:y val="0.15685609066308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3200"/>
        <c:crosses val="autoZero"/>
        <c:crossBetween val="midCat"/>
        <c:majorUnit val="1"/>
        <c:minorUnit val="1"/>
      </c:valAx>
      <c:valAx>
        <c:axId val="467722960"/>
        <c:scaling>
          <c:logBase val="10"/>
          <c:orientation val="minMax"/>
          <c:max val="10000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/>
                  <a:t>Infectious</a:t>
                </a:r>
                <a:r>
                  <a:rPr lang="de-DE" sz="1100" b="1" baseline="0"/>
                  <a:t> virus titer (TCID50/mL)</a:t>
                </a:r>
                <a:endParaRPr lang="de-DE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4836872"/>
        <c:crosses val="max"/>
        <c:crossBetween val="midCat"/>
      </c:valAx>
      <c:valAx>
        <c:axId val="4648368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677229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7122389580025535"/>
          <c:y val="0.86537616906413828"/>
          <c:w val="0.45280704457231136"/>
          <c:h val="0.10990199868427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5158346417642"/>
          <c:y val="4.1299449971854293E-2"/>
          <c:w val="0.62907850177215907"/>
          <c:h val="0.70746152854924138"/>
        </c:manualLayout>
      </c:layout>
      <c:scatterChart>
        <c:scatterStyle val="lineMarker"/>
        <c:varyColors val="0"/>
        <c:ser>
          <c:idx val="0"/>
          <c:order val="0"/>
          <c:tx>
            <c:v>TCID50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Parameters'!$AW$19:$AW$61</c:f>
              <c:numCache>
                <c:formatCode>0.00</c:formatCode>
                <c:ptCount val="43"/>
                <c:pt idx="0">
                  <c:v>-1.5277777776645962E-2</c:v>
                </c:pt>
                <c:pt idx="1">
                  <c:v>0.49652777778101154</c:v>
                </c:pt>
                <c:pt idx="2">
                  <c:v>0.98888888888905058</c:v>
                </c:pt>
                <c:pt idx="3">
                  <c:v>1.3965277777824667</c:v>
                </c:pt>
                <c:pt idx="4">
                  <c:v>2.0201388888890506</c:v>
                </c:pt>
                <c:pt idx="5">
                  <c:v>2.4937500000014552</c:v>
                </c:pt>
                <c:pt idx="6">
                  <c:v>2.9527777777839219</c:v>
                </c:pt>
                <c:pt idx="7">
                  <c:v>3.4597222222218988</c:v>
                </c:pt>
                <c:pt idx="8">
                  <c:v>4.0034722222262644</c:v>
                </c:pt>
                <c:pt idx="9">
                  <c:v>4.4701388888934162</c:v>
                </c:pt>
                <c:pt idx="10">
                  <c:v>5.0048611111124046</c:v>
                </c:pt>
                <c:pt idx="11">
                  <c:v>5.4756944444452529</c:v>
                </c:pt>
                <c:pt idx="12">
                  <c:v>5.9930555555547471</c:v>
                </c:pt>
                <c:pt idx="13">
                  <c:v>6.4895833333357587</c:v>
                </c:pt>
                <c:pt idx="14">
                  <c:v>6.9638888888948713</c:v>
                </c:pt>
                <c:pt idx="15">
                  <c:v>7.4152777777781012</c:v>
                </c:pt>
                <c:pt idx="16">
                  <c:v>7.953472222223354</c:v>
                </c:pt>
                <c:pt idx="17">
                  <c:v>8.4152777777781012</c:v>
                </c:pt>
                <c:pt idx="18">
                  <c:v>8.9638888888948713</c:v>
                </c:pt>
                <c:pt idx="19">
                  <c:v>9.4194444444437977</c:v>
                </c:pt>
                <c:pt idx="20">
                  <c:v>9.9666666666671517</c:v>
                </c:pt>
                <c:pt idx="21">
                  <c:v>10.427083333335759</c:v>
                </c:pt>
                <c:pt idx="22">
                  <c:v>10.961805555554747</c:v>
                </c:pt>
                <c:pt idx="23">
                  <c:v>11.420138888890506</c:v>
                </c:pt>
                <c:pt idx="24">
                  <c:v>11.970138888893416</c:v>
                </c:pt>
                <c:pt idx="25">
                  <c:v>12.431250000001455</c:v>
                </c:pt>
                <c:pt idx="26">
                  <c:v>12.972916666672972</c:v>
                </c:pt>
                <c:pt idx="27">
                  <c:v>13.500694444446708</c:v>
                </c:pt>
                <c:pt idx="28">
                  <c:v>13.98750000000291</c:v>
                </c:pt>
                <c:pt idx="29">
                  <c:v>14.435416666667152</c:v>
                </c:pt>
                <c:pt idx="30">
                  <c:v>14.974305555559113</c:v>
                </c:pt>
                <c:pt idx="31">
                  <c:v>15.447916666671517</c:v>
                </c:pt>
                <c:pt idx="32">
                  <c:v>16.011805555557657</c:v>
                </c:pt>
                <c:pt idx="33">
                  <c:v>16.481944444443798</c:v>
                </c:pt>
                <c:pt idx="34">
                  <c:v>16.965277777781012</c:v>
                </c:pt>
                <c:pt idx="35">
                  <c:v>17.447222222224809</c:v>
                </c:pt>
                <c:pt idx="36">
                  <c:v>18.000694444446708</c:v>
                </c:pt>
                <c:pt idx="37">
                  <c:v>18.447916666671517</c:v>
                </c:pt>
                <c:pt idx="38">
                  <c:v>18.981250000004366</c:v>
                </c:pt>
                <c:pt idx="39">
                  <c:v>19.476388888891961</c:v>
                </c:pt>
                <c:pt idx="40">
                  <c:v>19.990972222221899</c:v>
                </c:pt>
                <c:pt idx="41">
                  <c:v>20.443750000005821</c:v>
                </c:pt>
                <c:pt idx="42">
                  <c:v>20.995138888894871</c:v>
                </c:pt>
              </c:numCache>
            </c:numRef>
          </c:xVal>
          <c:yVal>
            <c:numRef>
              <c:f>'General Parameters'!$BA$19:$BA$61</c:f>
              <c:numCache>
                <c:formatCode>0.00E+00</c:formatCode>
                <c:ptCount val="43"/>
                <c:pt idx="0">
                  <c:v>240000</c:v>
                </c:pt>
                <c:pt idx="1">
                  <c:v>560000000</c:v>
                </c:pt>
                <c:pt idx="2">
                  <c:v>56000000</c:v>
                </c:pt>
                <c:pt idx="3">
                  <c:v>18000000</c:v>
                </c:pt>
                <c:pt idx="4">
                  <c:v>560000</c:v>
                </c:pt>
                <c:pt idx="5">
                  <c:v>130000</c:v>
                </c:pt>
                <c:pt idx="6">
                  <c:v>24000</c:v>
                </c:pt>
                <c:pt idx="7">
                  <c:v>3200</c:v>
                </c:pt>
                <c:pt idx="8">
                  <c:v>42</c:v>
                </c:pt>
                <c:pt idx="9">
                  <c:v>7600</c:v>
                </c:pt>
                <c:pt idx="10">
                  <c:v>32000000</c:v>
                </c:pt>
                <c:pt idx="11">
                  <c:v>5600000</c:v>
                </c:pt>
                <c:pt idx="12">
                  <c:v>760000</c:v>
                </c:pt>
                <c:pt idx="13">
                  <c:v>1300000</c:v>
                </c:pt>
                <c:pt idx="14">
                  <c:v>56000</c:v>
                </c:pt>
                <c:pt idx="15">
                  <c:v>10000</c:v>
                </c:pt>
                <c:pt idx="16">
                  <c:v>1300</c:v>
                </c:pt>
                <c:pt idx="17">
                  <c:v>0</c:v>
                </c:pt>
                <c:pt idx="18">
                  <c:v>3200000</c:v>
                </c:pt>
                <c:pt idx="19">
                  <c:v>43000000</c:v>
                </c:pt>
                <c:pt idx="20">
                  <c:v>4300000</c:v>
                </c:pt>
                <c:pt idx="21">
                  <c:v>3200000</c:v>
                </c:pt>
                <c:pt idx="22">
                  <c:v>430000</c:v>
                </c:pt>
                <c:pt idx="23">
                  <c:v>130000</c:v>
                </c:pt>
                <c:pt idx="24">
                  <c:v>24000</c:v>
                </c:pt>
                <c:pt idx="25">
                  <c:v>1300</c:v>
                </c:pt>
                <c:pt idx="26">
                  <c:v>32000</c:v>
                </c:pt>
                <c:pt idx="27">
                  <c:v>180000000</c:v>
                </c:pt>
                <c:pt idx="28">
                  <c:v>4300000</c:v>
                </c:pt>
                <c:pt idx="29">
                  <c:v>1800000</c:v>
                </c:pt>
                <c:pt idx="30">
                  <c:v>760000</c:v>
                </c:pt>
                <c:pt idx="31">
                  <c:v>56000</c:v>
                </c:pt>
                <c:pt idx="32">
                  <c:v>3200</c:v>
                </c:pt>
                <c:pt idx="33">
                  <c:v>430</c:v>
                </c:pt>
                <c:pt idx="34">
                  <c:v>560000</c:v>
                </c:pt>
                <c:pt idx="35">
                  <c:v>180000000</c:v>
                </c:pt>
                <c:pt idx="36">
                  <c:v>7600000</c:v>
                </c:pt>
                <c:pt idx="37">
                  <c:v>1000000</c:v>
                </c:pt>
                <c:pt idx="38">
                  <c:v>560000</c:v>
                </c:pt>
                <c:pt idx="39">
                  <c:v>56000</c:v>
                </c:pt>
                <c:pt idx="40">
                  <c:v>5600</c:v>
                </c:pt>
                <c:pt idx="41">
                  <c:v>1300</c:v>
                </c:pt>
                <c:pt idx="42">
                  <c:v>76000000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5E-4573-BE70-D7B9F6626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03200"/>
        <c:axId val="134405504"/>
      </c:scatterChart>
      <c:valAx>
        <c:axId val="134403200"/>
        <c:scaling>
          <c:orientation val="minMax"/>
          <c:max val="22"/>
          <c:min val="-2.0000000000000004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/>
                  <a:t>Cultivation</a:t>
                </a:r>
                <a:r>
                  <a:rPr lang="de-DE" sz="1100" b="1" baseline="0"/>
                  <a:t> time (dpi)</a:t>
                </a:r>
                <a:endParaRPr lang="de-DE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5504"/>
        <c:crosses val="autoZero"/>
        <c:crossBetween val="midCat"/>
        <c:majorUnit val="2"/>
      </c:valAx>
      <c:valAx>
        <c:axId val="134405504"/>
        <c:scaling>
          <c:logBase val="10"/>
          <c:orientation val="minMax"/>
          <c:max val="1000000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 b="1" baseline="0"/>
                  <a:t>Infectious virus titer (TCID50/mL)</a:t>
                </a:r>
                <a:endParaRPr lang="de-DE" sz="1100" b="1"/>
              </a:p>
            </c:rich>
          </c:tx>
          <c:layout>
            <c:manualLayout>
              <c:xMode val="edge"/>
              <c:yMode val="edge"/>
              <c:x val="2.0201677397711629E-2"/>
              <c:y val="9.484058678711672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3200"/>
        <c:crosses val="autoZero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7122389580025535"/>
          <c:y val="0.86537616906413828"/>
          <c:w val="0.45280704457231136"/>
          <c:h val="0.10990199868427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81967320139683"/>
          <c:y val="4.1299384470662802E-2"/>
          <c:w val="0.69475364275506468"/>
          <c:h val="0.71732915113397955"/>
        </c:manualLayout>
      </c:layout>
      <c:scatterChart>
        <c:scatterStyle val="lineMarker"/>
        <c:varyColors val="0"/>
        <c:ser>
          <c:idx val="2"/>
          <c:order val="0"/>
          <c:tx>
            <c:v>Cell seeding shake flask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Parameters'!$M$13:$M$61</c:f>
              <c:numCache>
                <c:formatCode>0.00</c:formatCode>
                <c:ptCount val="49"/>
                <c:pt idx="0">
                  <c:v>0.54500000000000004</c:v>
                </c:pt>
                <c:pt idx="1">
                  <c:v>1.3250000000000002</c:v>
                </c:pt>
                <c:pt idx="2">
                  <c:v>2.08</c:v>
                </c:pt>
                <c:pt idx="3">
                  <c:v>3.0300000000000002</c:v>
                </c:pt>
                <c:pt idx="4">
                  <c:v>3.1</c:v>
                </c:pt>
                <c:pt idx="5">
                  <c:v>3.2349999999999999</c:v>
                </c:pt>
                <c:pt idx="6">
                  <c:v>2.9249999999999998</c:v>
                </c:pt>
                <c:pt idx="7">
                  <c:v>2.69</c:v>
                </c:pt>
                <c:pt idx="8">
                  <c:v>2.67</c:v>
                </c:pt>
                <c:pt idx="9">
                  <c:v>2.39</c:v>
                </c:pt>
                <c:pt idx="10">
                  <c:v>2.9299999999999997</c:v>
                </c:pt>
                <c:pt idx="11">
                  <c:v>2.4299999999999997</c:v>
                </c:pt>
                <c:pt idx="12">
                  <c:v>2.2549999999999999</c:v>
                </c:pt>
                <c:pt idx="13">
                  <c:v>2.41</c:v>
                </c:pt>
                <c:pt idx="14">
                  <c:v>2.7</c:v>
                </c:pt>
                <c:pt idx="15">
                  <c:v>2.2050000000000001</c:v>
                </c:pt>
                <c:pt idx="16">
                  <c:v>2.4849999999999999</c:v>
                </c:pt>
                <c:pt idx="17">
                  <c:v>2.5599999999999996</c:v>
                </c:pt>
                <c:pt idx="18">
                  <c:v>2.7949999999999999</c:v>
                </c:pt>
                <c:pt idx="19">
                  <c:v>2.605</c:v>
                </c:pt>
                <c:pt idx="20">
                  <c:v>2.6550000000000002</c:v>
                </c:pt>
                <c:pt idx="21">
                  <c:v>2.54</c:v>
                </c:pt>
                <c:pt idx="22">
                  <c:v>2.8200000000000003</c:v>
                </c:pt>
                <c:pt idx="23">
                  <c:v>2.41</c:v>
                </c:pt>
                <c:pt idx="24">
                  <c:v>2.5750000000000002</c:v>
                </c:pt>
                <c:pt idx="25">
                  <c:v>2.3600000000000003</c:v>
                </c:pt>
                <c:pt idx="26" formatCode="General">
                  <c:v>2.46</c:v>
                </c:pt>
                <c:pt idx="27" formatCode="General">
                  <c:v>2.17</c:v>
                </c:pt>
                <c:pt idx="28" formatCode="General">
                  <c:v>2.5</c:v>
                </c:pt>
                <c:pt idx="29" formatCode="General">
                  <c:v>2.3650000000000002</c:v>
                </c:pt>
                <c:pt idx="30" formatCode="General">
                  <c:v>2.4649999999999999</c:v>
                </c:pt>
                <c:pt idx="31" formatCode="General">
                  <c:v>2.37</c:v>
                </c:pt>
                <c:pt idx="32" formatCode="General">
                  <c:v>2.6500000000000004</c:v>
                </c:pt>
                <c:pt idx="33" formatCode="General">
                  <c:v>2.5049999999999999</c:v>
                </c:pt>
                <c:pt idx="34" formatCode="General">
                  <c:v>2.2450000000000001</c:v>
                </c:pt>
                <c:pt idx="35" formatCode="General">
                  <c:v>2.16</c:v>
                </c:pt>
                <c:pt idx="36" formatCode="General">
                  <c:v>2.5750000000000002</c:v>
                </c:pt>
                <c:pt idx="37" formatCode="General">
                  <c:v>2.77</c:v>
                </c:pt>
                <c:pt idx="38" formatCode="General">
                  <c:v>2.92</c:v>
                </c:pt>
                <c:pt idx="39" formatCode="General">
                  <c:v>2.62</c:v>
                </c:pt>
                <c:pt idx="40" formatCode="General">
                  <c:v>2.67</c:v>
                </c:pt>
                <c:pt idx="41" formatCode="General">
                  <c:v>2.5149999999999997</c:v>
                </c:pt>
                <c:pt idx="42" formatCode="General">
                  <c:v>2.855</c:v>
                </c:pt>
                <c:pt idx="43" formatCode="General">
                  <c:v>2.59</c:v>
                </c:pt>
                <c:pt idx="44" formatCode="General">
                  <c:v>2.8449999999999998</c:v>
                </c:pt>
                <c:pt idx="45" formatCode="General">
                  <c:v>2.7199999999999998</c:v>
                </c:pt>
                <c:pt idx="46" formatCode="General">
                  <c:v>2.92</c:v>
                </c:pt>
                <c:pt idx="47" formatCode="General">
                  <c:v>2.6799999999999997</c:v>
                </c:pt>
                <c:pt idx="48" formatCode="General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3-4A7D-8AE0-BF4319A8E7A1}"/>
            </c:ext>
          </c:extLst>
        </c:ser>
        <c:ser>
          <c:idx val="0"/>
          <c:order val="1"/>
          <c:tx>
            <c:v>Virus shake flask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'General Parameters'!$F$13:$F$61</c:f>
              <c:numCache>
                <c:formatCode>General</c:formatCode>
                <c:ptCount val="49"/>
                <c:pt idx="0">
                  <c:v>-3.5888888888875954</c:v>
                </c:pt>
                <c:pt idx="1">
                  <c:v>-2.5743055555503815</c:v>
                </c:pt>
                <c:pt idx="2">
                  <c:v>-2.0277777777737356</c:v>
                </c:pt>
                <c:pt idx="3">
                  <c:v>-1.5638888888861402</c:v>
                </c:pt>
                <c:pt idx="4">
                  <c:v>-1.0159722222160781</c:v>
                </c:pt>
                <c:pt idx="5">
                  <c:v>-0.49861111110658385</c:v>
                </c:pt>
                <c:pt idx="6">
                  <c:v>-1.5277777776645962E-2</c:v>
                </c:pt>
                <c:pt idx="7">
                  <c:v>0.49652777778101154</c:v>
                </c:pt>
                <c:pt idx="8">
                  <c:v>0.98888888888905058</c:v>
                </c:pt>
                <c:pt idx="9">
                  <c:v>1.3965277777824667</c:v>
                </c:pt>
                <c:pt idx="10">
                  <c:v>2.0201388888890506</c:v>
                </c:pt>
                <c:pt idx="11">
                  <c:v>2.4937500000014552</c:v>
                </c:pt>
                <c:pt idx="12">
                  <c:v>2.9527777777839219</c:v>
                </c:pt>
                <c:pt idx="13">
                  <c:v>3.4597222222218988</c:v>
                </c:pt>
                <c:pt idx="14">
                  <c:v>4.0034722222262644</c:v>
                </c:pt>
                <c:pt idx="15">
                  <c:v>4.4701388888934162</c:v>
                </c:pt>
                <c:pt idx="16">
                  <c:v>5.0048611111124046</c:v>
                </c:pt>
                <c:pt idx="17">
                  <c:v>5.4756944444452529</c:v>
                </c:pt>
                <c:pt idx="18">
                  <c:v>5.9930555555547471</c:v>
                </c:pt>
                <c:pt idx="19">
                  <c:v>6.4895833333357587</c:v>
                </c:pt>
                <c:pt idx="20">
                  <c:v>6.9638888888948713</c:v>
                </c:pt>
                <c:pt idx="21">
                  <c:v>7.4152777777781012</c:v>
                </c:pt>
                <c:pt idx="22">
                  <c:v>7.953472222223354</c:v>
                </c:pt>
                <c:pt idx="23">
                  <c:v>8.4152777777781012</c:v>
                </c:pt>
                <c:pt idx="24">
                  <c:v>8.9638888888948713</c:v>
                </c:pt>
                <c:pt idx="25">
                  <c:v>9.4194444444437977</c:v>
                </c:pt>
                <c:pt idx="26">
                  <c:v>9.9666666666671517</c:v>
                </c:pt>
                <c:pt idx="27">
                  <c:v>10.427083333335759</c:v>
                </c:pt>
                <c:pt idx="28">
                  <c:v>10.961805555554747</c:v>
                </c:pt>
                <c:pt idx="29">
                  <c:v>11.420138888890506</c:v>
                </c:pt>
                <c:pt idx="30">
                  <c:v>11.970138888893416</c:v>
                </c:pt>
                <c:pt idx="31">
                  <c:v>12.431250000001455</c:v>
                </c:pt>
                <c:pt idx="32">
                  <c:v>12.972916666672972</c:v>
                </c:pt>
                <c:pt idx="33">
                  <c:v>13.500694444446708</c:v>
                </c:pt>
                <c:pt idx="34">
                  <c:v>13.98750000000291</c:v>
                </c:pt>
                <c:pt idx="35">
                  <c:v>14.435416666667152</c:v>
                </c:pt>
                <c:pt idx="36">
                  <c:v>14.974305555559113</c:v>
                </c:pt>
                <c:pt idx="37">
                  <c:v>15.447916666671517</c:v>
                </c:pt>
                <c:pt idx="38">
                  <c:v>16.011805555557657</c:v>
                </c:pt>
                <c:pt idx="39">
                  <c:v>16.481944444443798</c:v>
                </c:pt>
                <c:pt idx="40">
                  <c:v>16.965277777781012</c:v>
                </c:pt>
                <c:pt idx="41">
                  <c:v>17.447222222224809</c:v>
                </c:pt>
                <c:pt idx="42">
                  <c:v>18.000694444446708</c:v>
                </c:pt>
                <c:pt idx="43">
                  <c:v>18.447916666671517</c:v>
                </c:pt>
                <c:pt idx="44">
                  <c:v>18.981250000004366</c:v>
                </c:pt>
                <c:pt idx="45">
                  <c:v>19.476388888891961</c:v>
                </c:pt>
                <c:pt idx="46">
                  <c:v>19.990972222221899</c:v>
                </c:pt>
                <c:pt idx="47">
                  <c:v>20.443750000005821</c:v>
                </c:pt>
                <c:pt idx="48">
                  <c:v>20.995138888894871</c:v>
                </c:pt>
              </c:numCache>
            </c:numRef>
          </c:xVal>
          <c:yVal>
            <c:numRef>
              <c:f>'General Parameters'!$AF$13:$AF$61</c:f>
              <c:numCache>
                <c:formatCode>0.00</c:formatCode>
                <c:ptCount val="49"/>
                <c:pt idx="0">
                  <c:v>0.61</c:v>
                </c:pt>
                <c:pt idx="1">
                  <c:v>1.39</c:v>
                </c:pt>
                <c:pt idx="2">
                  <c:v>2.08</c:v>
                </c:pt>
                <c:pt idx="3">
                  <c:v>2.915</c:v>
                </c:pt>
                <c:pt idx="4">
                  <c:v>2.355</c:v>
                </c:pt>
                <c:pt idx="5">
                  <c:v>2.3849999999999998</c:v>
                </c:pt>
                <c:pt idx="6">
                  <c:v>2.4950000000000001</c:v>
                </c:pt>
                <c:pt idx="7">
                  <c:v>1.8050000000000002</c:v>
                </c:pt>
                <c:pt idx="8">
                  <c:v>0.57999999999999996</c:v>
                </c:pt>
                <c:pt idx="9">
                  <c:v>0.86499999999999999</c:v>
                </c:pt>
                <c:pt idx="10">
                  <c:v>0.26500000000000001</c:v>
                </c:pt>
                <c:pt idx="11">
                  <c:v>1.38</c:v>
                </c:pt>
                <c:pt idx="12">
                  <c:v>0.95</c:v>
                </c:pt>
                <c:pt idx="13">
                  <c:v>0.98499999999999999</c:v>
                </c:pt>
                <c:pt idx="14">
                  <c:v>1.55</c:v>
                </c:pt>
                <c:pt idx="15">
                  <c:v>1.6099999999999999</c:v>
                </c:pt>
                <c:pt idx="16">
                  <c:v>2.0949999999999998</c:v>
                </c:pt>
                <c:pt idx="17">
                  <c:v>0.76500000000000001</c:v>
                </c:pt>
                <c:pt idx="18">
                  <c:v>0.36499999999999999</c:v>
                </c:pt>
                <c:pt idx="19">
                  <c:v>0.73</c:v>
                </c:pt>
                <c:pt idx="20">
                  <c:v>0.89</c:v>
                </c:pt>
                <c:pt idx="21">
                  <c:v>1.1850000000000001</c:v>
                </c:pt>
                <c:pt idx="22">
                  <c:v>1.6</c:v>
                </c:pt>
                <c:pt idx="23">
                  <c:v>2.1850000000000001</c:v>
                </c:pt>
                <c:pt idx="24">
                  <c:v>2.4550000000000001</c:v>
                </c:pt>
                <c:pt idx="25">
                  <c:v>1.2149999999999999</c:v>
                </c:pt>
                <c:pt idx="26">
                  <c:v>0.33999999999999997</c:v>
                </c:pt>
                <c:pt idx="27">
                  <c:v>0.75</c:v>
                </c:pt>
                <c:pt idx="28">
                  <c:v>0.59</c:v>
                </c:pt>
                <c:pt idx="29">
                  <c:v>0.9</c:v>
                </c:pt>
                <c:pt idx="30">
                  <c:v>1.0550000000000002</c:v>
                </c:pt>
                <c:pt idx="31">
                  <c:v>1.57</c:v>
                </c:pt>
                <c:pt idx="32" formatCode="General">
                  <c:v>1.9550000000000001</c:v>
                </c:pt>
                <c:pt idx="33">
                  <c:v>1.9550000000000001</c:v>
                </c:pt>
                <c:pt idx="34">
                  <c:v>1.0150000000000001</c:v>
                </c:pt>
                <c:pt idx="35">
                  <c:v>0.72</c:v>
                </c:pt>
                <c:pt idx="36" formatCode="General">
                  <c:v>0.60499999999999998</c:v>
                </c:pt>
                <c:pt idx="37" formatCode="General">
                  <c:v>1.0350000000000001</c:v>
                </c:pt>
                <c:pt idx="38" formatCode="General">
                  <c:v>1.415</c:v>
                </c:pt>
                <c:pt idx="39" formatCode="General">
                  <c:v>2.29</c:v>
                </c:pt>
                <c:pt idx="40" formatCode="General">
                  <c:v>2.6950000000000003</c:v>
                </c:pt>
                <c:pt idx="41" formatCode="General">
                  <c:v>1.7549999999999999</c:v>
                </c:pt>
                <c:pt idx="42" formatCode="General">
                  <c:v>0.67500000000000004</c:v>
                </c:pt>
                <c:pt idx="43" formatCode="General">
                  <c:v>1.06</c:v>
                </c:pt>
                <c:pt idx="44" formatCode="General">
                  <c:v>0.83499999999999996</c:v>
                </c:pt>
                <c:pt idx="45" formatCode="General">
                  <c:v>1.35</c:v>
                </c:pt>
                <c:pt idx="46" formatCode="General">
                  <c:v>1.64</c:v>
                </c:pt>
                <c:pt idx="47" formatCode="General">
                  <c:v>2.2450000000000001</c:v>
                </c:pt>
                <c:pt idx="48" formatCode="General">
                  <c:v>2.9950000000000001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03-4A7D-8AE0-BF4319A8E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72960"/>
        <c:axId val="134075520"/>
      </c:scatterChart>
      <c:valAx>
        <c:axId val="134072960"/>
        <c:scaling>
          <c:orientation val="minMax"/>
          <c:max val="22"/>
          <c:min val="-4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b="0"/>
                  <a:t>Time post infection (dpi)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075520"/>
        <c:crosses val="autoZero"/>
        <c:crossBetween val="midCat"/>
        <c:majorUnit val="2"/>
      </c:valAx>
      <c:valAx>
        <c:axId val="1340755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b="0"/>
                  <a:t>VCC (× 10</a:t>
                </a:r>
                <a:r>
                  <a:rPr lang="de-DE" b="0" baseline="30000"/>
                  <a:t>6</a:t>
                </a:r>
                <a:r>
                  <a:rPr lang="de-DE" b="0"/>
                  <a:t> cells/mL)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072960"/>
        <c:crossesAt val="-4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709252250764219"/>
          <c:y val="5.693542714131921E-2"/>
          <c:w val="0.49789645407387723"/>
          <c:h val="0.17558965411686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39338330599431"/>
          <c:y val="4.5822293447293445E-2"/>
          <c:w val="0.6256203014479873"/>
          <c:h val="0.70746152854924138"/>
        </c:manualLayout>
      </c:layout>
      <c:scatterChart>
        <c:scatterStyle val="lineMarker"/>
        <c:varyColors val="0"/>
        <c:ser>
          <c:idx val="1"/>
          <c:order val="1"/>
          <c:tx>
            <c:v>vRNA level Seg 5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'General Parameters'!$AW$19:$AW$61</c:f>
              <c:numCache>
                <c:formatCode>0.00</c:formatCode>
                <c:ptCount val="43"/>
                <c:pt idx="0">
                  <c:v>-1.5277777776645962E-2</c:v>
                </c:pt>
                <c:pt idx="1">
                  <c:v>0.49652777778101154</c:v>
                </c:pt>
                <c:pt idx="2">
                  <c:v>0.98888888888905058</c:v>
                </c:pt>
                <c:pt idx="3">
                  <c:v>1.3965277777824667</c:v>
                </c:pt>
                <c:pt idx="4">
                  <c:v>2.0201388888890506</c:v>
                </c:pt>
                <c:pt idx="5">
                  <c:v>2.4937500000014552</c:v>
                </c:pt>
                <c:pt idx="6">
                  <c:v>2.9527777777839219</c:v>
                </c:pt>
                <c:pt idx="7">
                  <c:v>3.4597222222218988</c:v>
                </c:pt>
                <c:pt idx="8">
                  <c:v>4.0034722222262644</c:v>
                </c:pt>
                <c:pt idx="9">
                  <c:v>4.4701388888934162</c:v>
                </c:pt>
                <c:pt idx="10">
                  <c:v>5.0048611111124046</c:v>
                </c:pt>
                <c:pt idx="11">
                  <c:v>5.4756944444452529</c:v>
                </c:pt>
                <c:pt idx="12">
                  <c:v>5.9930555555547471</c:v>
                </c:pt>
                <c:pt idx="13">
                  <c:v>6.4895833333357587</c:v>
                </c:pt>
                <c:pt idx="14">
                  <c:v>6.9638888888948713</c:v>
                </c:pt>
                <c:pt idx="15">
                  <c:v>7.4152777777781012</c:v>
                </c:pt>
                <c:pt idx="16">
                  <c:v>7.953472222223354</c:v>
                </c:pt>
                <c:pt idx="17">
                  <c:v>8.4152777777781012</c:v>
                </c:pt>
                <c:pt idx="18">
                  <c:v>8.9638888888948713</c:v>
                </c:pt>
                <c:pt idx="19">
                  <c:v>9.4194444444437977</c:v>
                </c:pt>
                <c:pt idx="20">
                  <c:v>9.9666666666671517</c:v>
                </c:pt>
                <c:pt idx="21">
                  <c:v>10.427083333335759</c:v>
                </c:pt>
                <c:pt idx="22">
                  <c:v>10.961805555554747</c:v>
                </c:pt>
                <c:pt idx="23">
                  <c:v>11.420138888890506</c:v>
                </c:pt>
                <c:pt idx="24">
                  <c:v>11.970138888893416</c:v>
                </c:pt>
                <c:pt idx="25">
                  <c:v>12.431250000001455</c:v>
                </c:pt>
                <c:pt idx="26">
                  <c:v>12.972916666672972</c:v>
                </c:pt>
                <c:pt idx="27">
                  <c:v>13.500694444446708</c:v>
                </c:pt>
                <c:pt idx="28">
                  <c:v>13.98750000000291</c:v>
                </c:pt>
                <c:pt idx="29">
                  <c:v>14.435416666667152</c:v>
                </c:pt>
                <c:pt idx="30">
                  <c:v>14.974305555559113</c:v>
                </c:pt>
                <c:pt idx="31">
                  <c:v>15.447916666671517</c:v>
                </c:pt>
                <c:pt idx="32">
                  <c:v>16.011805555557657</c:v>
                </c:pt>
                <c:pt idx="33">
                  <c:v>16.481944444443798</c:v>
                </c:pt>
                <c:pt idx="34">
                  <c:v>16.965277777781012</c:v>
                </c:pt>
                <c:pt idx="35">
                  <c:v>17.447222222224809</c:v>
                </c:pt>
                <c:pt idx="36">
                  <c:v>18.000694444446708</c:v>
                </c:pt>
                <c:pt idx="37">
                  <c:v>18.447916666671517</c:v>
                </c:pt>
                <c:pt idx="38">
                  <c:v>18.981250000004366</c:v>
                </c:pt>
                <c:pt idx="39">
                  <c:v>19.476388888891961</c:v>
                </c:pt>
                <c:pt idx="40">
                  <c:v>19.990972222221899</c:v>
                </c:pt>
                <c:pt idx="41">
                  <c:v>20.443750000005821</c:v>
                </c:pt>
                <c:pt idx="42">
                  <c:v>20.995138888894871</c:v>
                </c:pt>
              </c:numCache>
            </c:numRef>
          </c:xVal>
          <c:yVal>
            <c:numRef>
              <c:f>'General Parameters'!$BB$19:$BB$61</c:f>
              <c:numCache>
                <c:formatCode>0.00E+00</c:formatCode>
                <c:ptCount val="43"/>
                <c:pt idx="0">
                  <c:v>12741057.110198367</c:v>
                </c:pt>
                <c:pt idx="1">
                  <c:v>39537182771.497398</c:v>
                </c:pt>
                <c:pt idx="2">
                  <c:v>77402830295.52858</c:v>
                </c:pt>
                <c:pt idx="3">
                  <c:v>52648236636.566238</c:v>
                </c:pt>
                <c:pt idx="4">
                  <c:v>34081081457.702351</c:v>
                </c:pt>
                <c:pt idx="5">
                  <c:v>10536992520.400543</c:v>
                </c:pt>
                <c:pt idx="6">
                  <c:v>3155732527.3763132</c:v>
                </c:pt>
                <c:pt idx="7">
                  <c:v>2271410820.0936904</c:v>
                </c:pt>
                <c:pt idx="8">
                  <c:v>902654978.95907044</c:v>
                </c:pt>
                <c:pt idx="9">
                  <c:v>369004898.58460248</c:v>
                </c:pt>
                <c:pt idx="10">
                  <c:v>27860443853.414368</c:v>
                </c:pt>
                <c:pt idx="11">
                  <c:v>36064663365.166519</c:v>
                </c:pt>
                <c:pt idx="12">
                  <c:v>11032618238.94775</c:v>
                </c:pt>
                <c:pt idx="13">
                  <c:v>7269186128.1305742</c:v>
                </c:pt>
                <c:pt idx="14">
                  <c:v>3223393899.0959516</c:v>
                </c:pt>
                <c:pt idx="15">
                  <c:v>2616477345.9776163</c:v>
                </c:pt>
                <c:pt idx="16">
                  <c:v>1054593765.3590542</c:v>
                </c:pt>
                <c:pt idx="17">
                  <c:v>319209134.52352667</c:v>
                </c:pt>
                <c:pt idx="18">
                  <c:v>233030594.69762743</c:v>
                </c:pt>
                <c:pt idx="19">
                  <c:v>60219071364.778267</c:v>
                </c:pt>
                <c:pt idx="20">
                  <c:v>23594893254.624023</c:v>
                </c:pt>
                <c:pt idx="21">
                  <c:v>15436688873.541931</c:v>
                </c:pt>
                <c:pt idx="22">
                  <c:v>7016660552.0923557</c:v>
                </c:pt>
                <c:pt idx="23">
                  <c:v>3508860905.8244348</c:v>
                </c:pt>
                <c:pt idx="24">
                  <c:v>2437846376.2476072</c:v>
                </c:pt>
                <c:pt idx="25">
                  <c:v>647413503.88917148</c:v>
                </c:pt>
                <c:pt idx="26">
                  <c:v>279077668.7529217</c:v>
                </c:pt>
                <c:pt idx="27">
                  <c:v>24617525898.371544</c:v>
                </c:pt>
                <c:pt idx="28">
                  <c:v>18684130444.242256</c:v>
                </c:pt>
                <c:pt idx="29">
                  <c:v>7294933233.0366392</c:v>
                </c:pt>
                <c:pt idx="30">
                  <c:v>3363099885.0183973</c:v>
                </c:pt>
                <c:pt idx="31">
                  <c:v>1290061860.1444962</c:v>
                </c:pt>
                <c:pt idx="32">
                  <c:v>479359695.1066615</c:v>
                </c:pt>
                <c:pt idx="33">
                  <c:v>142552213.59218314</c:v>
                </c:pt>
                <c:pt idx="34">
                  <c:v>83286204.084168479</c:v>
                </c:pt>
                <c:pt idx="35">
                  <c:v>42886732727.239349</c:v>
                </c:pt>
                <c:pt idx="36">
                  <c:v>22855894722.528561</c:v>
                </c:pt>
                <c:pt idx="37">
                  <c:v>5195295190.3420792</c:v>
                </c:pt>
                <c:pt idx="38">
                  <c:v>380935916.01798624</c:v>
                </c:pt>
                <c:pt idx="39">
                  <c:v>730112609.58725798</c:v>
                </c:pt>
                <c:pt idx="40">
                  <c:v>475911052.1430006</c:v>
                </c:pt>
                <c:pt idx="41">
                  <c:v>172191278.28572243</c:v>
                </c:pt>
                <c:pt idx="42">
                  <c:v>3447938552.2633128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3-468A-B1A9-968E0333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03200"/>
        <c:axId val="134405504"/>
      </c:scatterChart>
      <c:scatterChart>
        <c:scatterStyle val="lineMarker"/>
        <c:varyColors val="0"/>
        <c:ser>
          <c:idx val="0"/>
          <c:order val="0"/>
          <c:tx>
            <c:v>Infectious virus titer (TCID50)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'General Parameters'!$AW$19:$AW$61</c:f>
              <c:numCache>
                <c:formatCode>0.00</c:formatCode>
                <c:ptCount val="43"/>
                <c:pt idx="0">
                  <c:v>-1.5277777776645962E-2</c:v>
                </c:pt>
                <c:pt idx="1">
                  <c:v>0.49652777778101154</c:v>
                </c:pt>
                <c:pt idx="2">
                  <c:v>0.98888888888905058</c:v>
                </c:pt>
                <c:pt idx="3">
                  <c:v>1.3965277777824667</c:v>
                </c:pt>
                <c:pt idx="4">
                  <c:v>2.0201388888890506</c:v>
                </c:pt>
                <c:pt idx="5">
                  <c:v>2.4937500000014552</c:v>
                </c:pt>
                <c:pt idx="6">
                  <c:v>2.9527777777839219</c:v>
                </c:pt>
                <c:pt idx="7">
                  <c:v>3.4597222222218988</c:v>
                </c:pt>
                <c:pt idx="8">
                  <c:v>4.0034722222262644</c:v>
                </c:pt>
                <c:pt idx="9">
                  <c:v>4.4701388888934162</c:v>
                </c:pt>
                <c:pt idx="10">
                  <c:v>5.0048611111124046</c:v>
                </c:pt>
                <c:pt idx="11">
                  <c:v>5.4756944444452529</c:v>
                </c:pt>
                <c:pt idx="12">
                  <c:v>5.9930555555547471</c:v>
                </c:pt>
                <c:pt idx="13">
                  <c:v>6.4895833333357587</c:v>
                </c:pt>
                <c:pt idx="14">
                  <c:v>6.9638888888948713</c:v>
                </c:pt>
                <c:pt idx="15">
                  <c:v>7.4152777777781012</c:v>
                </c:pt>
                <c:pt idx="16">
                  <c:v>7.953472222223354</c:v>
                </c:pt>
                <c:pt idx="17">
                  <c:v>8.4152777777781012</c:v>
                </c:pt>
                <c:pt idx="18">
                  <c:v>8.9638888888948713</c:v>
                </c:pt>
                <c:pt idx="19">
                  <c:v>9.4194444444437977</c:v>
                </c:pt>
                <c:pt idx="20">
                  <c:v>9.9666666666671517</c:v>
                </c:pt>
                <c:pt idx="21">
                  <c:v>10.427083333335759</c:v>
                </c:pt>
                <c:pt idx="22">
                  <c:v>10.961805555554747</c:v>
                </c:pt>
                <c:pt idx="23">
                  <c:v>11.420138888890506</c:v>
                </c:pt>
                <c:pt idx="24">
                  <c:v>11.970138888893416</c:v>
                </c:pt>
                <c:pt idx="25">
                  <c:v>12.431250000001455</c:v>
                </c:pt>
                <c:pt idx="26">
                  <c:v>12.972916666672972</c:v>
                </c:pt>
                <c:pt idx="27">
                  <c:v>13.500694444446708</c:v>
                </c:pt>
                <c:pt idx="28">
                  <c:v>13.98750000000291</c:v>
                </c:pt>
                <c:pt idx="29">
                  <c:v>14.435416666667152</c:v>
                </c:pt>
                <c:pt idx="30">
                  <c:v>14.974305555559113</c:v>
                </c:pt>
                <c:pt idx="31">
                  <c:v>15.447916666671517</c:v>
                </c:pt>
                <c:pt idx="32">
                  <c:v>16.011805555557657</c:v>
                </c:pt>
                <c:pt idx="33">
                  <c:v>16.481944444443798</c:v>
                </c:pt>
                <c:pt idx="34">
                  <c:v>16.965277777781012</c:v>
                </c:pt>
                <c:pt idx="35">
                  <c:v>17.447222222224809</c:v>
                </c:pt>
                <c:pt idx="36">
                  <c:v>18.000694444446708</c:v>
                </c:pt>
                <c:pt idx="37">
                  <c:v>18.447916666671517</c:v>
                </c:pt>
                <c:pt idx="38">
                  <c:v>18.981250000004366</c:v>
                </c:pt>
                <c:pt idx="39">
                  <c:v>19.476388888891961</c:v>
                </c:pt>
                <c:pt idx="40">
                  <c:v>19.990972222221899</c:v>
                </c:pt>
                <c:pt idx="41">
                  <c:v>20.443750000005821</c:v>
                </c:pt>
                <c:pt idx="42">
                  <c:v>20.995138888894871</c:v>
                </c:pt>
              </c:numCache>
            </c:numRef>
          </c:xVal>
          <c:yVal>
            <c:numRef>
              <c:f>'General Parameters'!$BA$19:$BA$61</c:f>
              <c:numCache>
                <c:formatCode>0.00E+00</c:formatCode>
                <c:ptCount val="43"/>
                <c:pt idx="0">
                  <c:v>240000</c:v>
                </c:pt>
                <c:pt idx="1">
                  <c:v>560000000</c:v>
                </c:pt>
                <c:pt idx="2">
                  <c:v>56000000</c:v>
                </c:pt>
                <c:pt idx="3">
                  <c:v>18000000</c:v>
                </c:pt>
                <c:pt idx="4">
                  <c:v>560000</c:v>
                </c:pt>
                <c:pt idx="5">
                  <c:v>130000</c:v>
                </c:pt>
                <c:pt idx="6">
                  <c:v>24000</c:v>
                </c:pt>
                <c:pt idx="7">
                  <c:v>3200</c:v>
                </c:pt>
                <c:pt idx="8">
                  <c:v>42</c:v>
                </c:pt>
                <c:pt idx="9">
                  <c:v>7600</c:v>
                </c:pt>
                <c:pt idx="10">
                  <c:v>32000000</c:v>
                </c:pt>
                <c:pt idx="11">
                  <c:v>5600000</c:v>
                </c:pt>
                <c:pt idx="12">
                  <c:v>760000</c:v>
                </c:pt>
                <c:pt idx="13">
                  <c:v>1300000</c:v>
                </c:pt>
                <c:pt idx="14">
                  <c:v>56000</c:v>
                </c:pt>
                <c:pt idx="15">
                  <c:v>10000</c:v>
                </c:pt>
                <c:pt idx="16">
                  <c:v>1300</c:v>
                </c:pt>
                <c:pt idx="17">
                  <c:v>0</c:v>
                </c:pt>
                <c:pt idx="18">
                  <c:v>3200000</c:v>
                </c:pt>
                <c:pt idx="19">
                  <c:v>43000000</c:v>
                </c:pt>
                <c:pt idx="20">
                  <c:v>4300000</c:v>
                </c:pt>
                <c:pt idx="21">
                  <c:v>3200000</c:v>
                </c:pt>
                <c:pt idx="22">
                  <c:v>430000</c:v>
                </c:pt>
                <c:pt idx="23">
                  <c:v>130000</c:v>
                </c:pt>
                <c:pt idx="24">
                  <c:v>24000</c:v>
                </c:pt>
                <c:pt idx="25">
                  <c:v>1300</c:v>
                </c:pt>
                <c:pt idx="26">
                  <c:v>32000</c:v>
                </c:pt>
                <c:pt idx="27">
                  <c:v>180000000</c:v>
                </c:pt>
                <c:pt idx="28">
                  <c:v>4300000</c:v>
                </c:pt>
                <c:pt idx="29">
                  <c:v>1800000</c:v>
                </c:pt>
                <c:pt idx="30">
                  <c:v>760000</c:v>
                </c:pt>
                <c:pt idx="31">
                  <c:v>56000</c:v>
                </c:pt>
                <c:pt idx="32">
                  <c:v>3200</c:v>
                </c:pt>
                <c:pt idx="33">
                  <c:v>430</c:v>
                </c:pt>
                <c:pt idx="34">
                  <c:v>560000</c:v>
                </c:pt>
                <c:pt idx="35">
                  <c:v>180000000</c:v>
                </c:pt>
                <c:pt idx="36">
                  <c:v>7600000</c:v>
                </c:pt>
                <c:pt idx="37">
                  <c:v>1000000</c:v>
                </c:pt>
                <c:pt idx="38">
                  <c:v>560000</c:v>
                </c:pt>
                <c:pt idx="39">
                  <c:v>56000</c:v>
                </c:pt>
                <c:pt idx="40">
                  <c:v>5600</c:v>
                </c:pt>
                <c:pt idx="41">
                  <c:v>1300</c:v>
                </c:pt>
                <c:pt idx="42">
                  <c:v>76000000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F3-468A-B1A9-968E0333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36872"/>
        <c:axId val="467722960"/>
      </c:scatterChart>
      <c:valAx>
        <c:axId val="134403200"/>
        <c:scaling>
          <c:orientation val="minMax"/>
          <c:max val="22"/>
          <c:min val="-2.0000000000000004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000" b="0" dirty="0"/>
                  <a:t>Time </a:t>
                </a:r>
                <a:r>
                  <a:rPr lang="de-DE" sz="1000" b="0" dirty="0" err="1"/>
                  <a:t>post</a:t>
                </a:r>
                <a:r>
                  <a:rPr lang="de-DE" sz="1000" b="0" dirty="0"/>
                  <a:t> </a:t>
                </a:r>
                <a:r>
                  <a:rPr lang="de-DE" sz="1000" b="0" dirty="0" err="1"/>
                  <a:t>infection</a:t>
                </a:r>
                <a:r>
                  <a:rPr lang="de-DE" sz="1000" b="0" dirty="0"/>
                  <a:t> </a:t>
                </a:r>
                <a:r>
                  <a:rPr lang="de-DE" sz="1000" b="0" baseline="0" dirty="0"/>
                  <a:t>(dpi)</a:t>
                </a:r>
                <a:endParaRPr lang="de-DE" sz="1000" b="0" dirty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5504"/>
        <c:crosses val="autoZero"/>
        <c:crossBetween val="midCat"/>
        <c:majorUnit val="2"/>
      </c:valAx>
      <c:valAx>
        <c:axId val="134405504"/>
        <c:scaling>
          <c:logBase val="10"/>
          <c:orientation val="minMax"/>
          <c:max val="1000000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000" b="0" dirty="0" err="1"/>
                  <a:t>vRNA</a:t>
                </a:r>
                <a:r>
                  <a:rPr lang="de-DE" sz="1000" b="0" dirty="0"/>
                  <a:t> </a:t>
                </a:r>
                <a:r>
                  <a:rPr lang="de-DE" sz="1000" b="0" dirty="0" err="1"/>
                  <a:t>level</a:t>
                </a:r>
                <a:r>
                  <a:rPr lang="de-DE" sz="1000" b="0" baseline="0" dirty="0"/>
                  <a:t> (</a:t>
                </a:r>
                <a:r>
                  <a:rPr lang="de-DE" sz="1000" b="0" baseline="0" dirty="0" err="1"/>
                  <a:t>copies</a:t>
                </a:r>
                <a:r>
                  <a:rPr lang="de-DE" sz="1000" b="0" baseline="0" dirty="0"/>
                  <a:t>/</a:t>
                </a:r>
                <a:r>
                  <a:rPr lang="de-DE" sz="1000" b="0" baseline="0" dirty="0" err="1"/>
                  <a:t>mL</a:t>
                </a:r>
                <a:r>
                  <a:rPr lang="de-DE" sz="1000" b="0" baseline="0" dirty="0"/>
                  <a:t>)</a:t>
                </a:r>
                <a:endParaRPr lang="de-DE" sz="1000" b="0" dirty="0"/>
              </a:p>
            </c:rich>
          </c:tx>
          <c:layout>
            <c:manualLayout>
              <c:xMode val="edge"/>
              <c:yMode val="edge"/>
              <c:x val="3.4582214176638324E-3"/>
              <c:y val="0.10710541310541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03200"/>
        <c:crosses val="autoZero"/>
        <c:crossBetween val="midCat"/>
        <c:majorUnit val="1"/>
        <c:minorUnit val="1"/>
      </c:valAx>
      <c:valAx>
        <c:axId val="467722960"/>
        <c:scaling>
          <c:logBase val="10"/>
          <c:orientation val="minMax"/>
          <c:max val="10000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000" b="0"/>
                  <a:t>Infectious</a:t>
                </a:r>
                <a:r>
                  <a:rPr lang="de-DE" sz="1000" b="0" baseline="0"/>
                  <a:t> virus titer (TCID50/mL)</a:t>
                </a:r>
                <a:endParaRPr lang="de-DE" sz="10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4836872"/>
        <c:crosses val="max"/>
        <c:crossBetween val="midCat"/>
      </c:valAx>
      <c:valAx>
        <c:axId val="4648368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677229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"/>
          <c:y val="0.89190954415954415"/>
          <c:w val="1"/>
          <c:h val="0.10809045584045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</xdr:row>
      <xdr:rowOff>114300</xdr:rowOff>
    </xdr:from>
    <xdr:to>
      <xdr:col>7</xdr:col>
      <xdr:colOff>240734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3</xdr:row>
      <xdr:rowOff>114300</xdr:rowOff>
    </xdr:from>
    <xdr:to>
      <xdr:col>15</xdr:col>
      <xdr:colOff>323738</xdr:colOff>
      <xdr:row>21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542925</xdr:colOff>
      <xdr:row>24</xdr:row>
      <xdr:rowOff>47625</xdr:rowOff>
    </xdr:from>
    <xdr:to>
      <xdr:col>7</xdr:col>
      <xdr:colOff>371475</xdr:colOff>
      <xdr:row>42</xdr:row>
      <xdr:rowOff>74104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285750</xdr:colOff>
      <xdr:row>19</xdr:row>
      <xdr:rowOff>26479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12</xdr:col>
      <xdr:colOff>454715</xdr:colOff>
      <xdr:row>21</xdr:row>
      <xdr:rowOff>30941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2</xdr:row>
      <xdr:rowOff>38100</xdr:rowOff>
    </xdr:from>
    <xdr:to>
      <xdr:col>22</xdr:col>
      <xdr:colOff>171450</xdr:colOff>
      <xdr:row>21</xdr:row>
      <xdr:rowOff>104775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464782</xdr:colOff>
      <xdr:row>2</xdr:row>
      <xdr:rowOff>32813</xdr:rowOff>
    </xdr:from>
    <xdr:to>
      <xdr:col>7</xdr:col>
      <xdr:colOff>293332</xdr:colOff>
      <xdr:row>21</xdr:row>
      <xdr:rowOff>99488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238125</xdr:colOff>
      <xdr:row>2</xdr:row>
      <xdr:rowOff>57150</xdr:rowOff>
    </xdr:from>
    <xdr:to>
      <xdr:col>15</xdr:col>
      <xdr:colOff>66674</xdr:colOff>
      <xdr:row>21</xdr:row>
      <xdr:rowOff>123825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438149</xdr:colOff>
      <xdr:row>43</xdr:row>
      <xdr:rowOff>66675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15</xdr:col>
      <xdr:colOff>438149</xdr:colOff>
      <xdr:row>43</xdr:row>
      <xdr:rowOff>66675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24</xdr:row>
      <xdr:rowOff>0</xdr:rowOff>
    </xdr:from>
    <xdr:to>
      <xdr:col>22</xdr:col>
      <xdr:colOff>293976</xdr:colOff>
      <xdr:row>38</xdr:row>
      <xdr:rowOff>139179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7</xdr:col>
      <xdr:colOff>14808</xdr:colOff>
      <xdr:row>59</xdr:row>
      <xdr:rowOff>141000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BP96"/>
  <sheetViews>
    <sheetView tabSelected="1" zoomScaleNormal="100" workbookViewId="0">
      <selection activeCell="K5" sqref="K5"/>
    </sheetView>
  </sheetViews>
  <sheetFormatPr defaultColWidth="9.140625" defaultRowHeight="8.25" x14ac:dyDescent="0.15"/>
  <cols>
    <col min="1" max="1" width="4.5703125" style="24" customWidth="1"/>
    <col min="2" max="2" width="13.5703125" style="24" customWidth="1"/>
    <col min="3" max="4" width="3.5703125" style="24" customWidth="1"/>
    <col min="5" max="5" width="10" style="24" bestFit="1" customWidth="1"/>
    <col min="6" max="6" width="3.5703125" style="24" customWidth="1"/>
    <col min="7" max="7" width="6.28515625" style="24" bestFit="1" customWidth="1"/>
    <col min="8" max="8" width="3.7109375" style="24" customWidth="1"/>
    <col min="9" max="9" width="6.42578125" style="24" bestFit="1" customWidth="1"/>
    <col min="10" max="10" width="8.28515625" style="24" bestFit="1" customWidth="1"/>
    <col min="11" max="11" width="10.140625" style="24" bestFit="1" customWidth="1"/>
    <col min="12" max="12" width="3.7109375" style="24" customWidth="1"/>
    <col min="13" max="13" width="4.5703125" style="24" bestFit="1" customWidth="1"/>
    <col min="14" max="15" width="3.7109375" style="24" customWidth="1"/>
    <col min="16" max="16" width="5.28515625" style="24" bestFit="1" customWidth="1"/>
    <col min="17" max="19" width="5.28515625" style="24" customWidth="1"/>
    <col min="20" max="22" width="4.140625" style="24" customWidth="1"/>
    <col min="23" max="23" width="3.85546875" style="24" customWidth="1"/>
    <col min="24" max="25" width="4" style="24" customWidth="1"/>
    <col min="26" max="28" width="3.7109375" style="24" customWidth="1"/>
    <col min="29" max="29" width="4.85546875" style="24" bestFit="1" customWidth="1"/>
    <col min="30" max="34" width="3.7109375" style="24" customWidth="1"/>
    <col min="35" max="35" width="5.28515625" style="24" bestFit="1" customWidth="1"/>
    <col min="36" max="40" width="3.5703125" style="24" customWidth="1"/>
    <col min="41" max="41" width="3.7109375" style="24" customWidth="1"/>
    <col min="42" max="42" width="3.5703125" style="24" customWidth="1"/>
    <col min="43" max="43" width="3.7109375" style="24" customWidth="1"/>
    <col min="44" max="44" width="3.5703125" style="24" customWidth="1"/>
    <col min="45" max="45" width="3.42578125" style="24" customWidth="1"/>
    <col min="46" max="46" width="4" style="24" customWidth="1"/>
    <col min="47" max="47" width="34.5703125" style="24" customWidth="1"/>
    <col min="48" max="48" width="4.42578125" style="24" bestFit="1" customWidth="1"/>
    <col min="49" max="49" width="9.28515625" style="24" bestFit="1" customWidth="1"/>
    <col min="50" max="50" width="13" style="24" bestFit="1" customWidth="1"/>
    <col min="51" max="58" width="9.140625" style="24"/>
    <col min="59" max="59" width="13" style="24" bestFit="1" customWidth="1"/>
    <col min="60" max="60" width="9.140625" style="24"/>
    <col min="61" max="61" width="10.42578125" style="24" bestFit="1" customWidth="1"/>
    <col min="62" max="16384" width="9.140625" style="24"/>
  </cols>
  <sheetData>
    <row r="1" spans="1:68" ht="12.75" x14ac:dyDescent="0.2">
      <c r="A1" s="28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5"/>
      <c r="Q1" s="25"/>
      <c r="R1" s="25"/>
      <c r="S1" s="25"/>
      <c r="T1" s="25"/>
      <c r="U1" s="25"/>
      <c r="V1" s="25"/>
      <c r="W1" s="25"/>
      <c r="X1" s="25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</row>
    <row r="2" spans="1:68" ht="12.75" x14ac:dyDescent="0.2">
      <c r="A2" s="28" t="s">
        <v>93</v>
      </c>
      <c r="B2" s="28"/>
      <c r="C2" s="28"/>
      <c r="D2" s="28"/>
      <c r="E2" s="28"/>
      <c r="F2" s="28"/>
      <c r="G2" s="29"/>
      <c r="H2" s="29"/>
      <c r="I2" s="29"/>
      <c r="J2" s="29"/>
      <c r="K2" s="29"/>
      <c r="L2" s="29"/>
      <c r="M2" s="29"/>
      <c r="N2" s="29"/>
      <c r="O2" s="29"/>
      <c r="P2" s="25"/>
      <c r="Q2" s="25"/>
      <c r="R2" s="25"/>
      <c r="S2" s="25"/>
      <c r="T2" s="25"/>
      <c r="U2" s="25"/>
      <c r="V2" s="25"/>
      <c r="W2" s="25"/>
      <c r="X2" s="25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</row>
    <row r="3" spans="1:68" ht="11.25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</row>
    <row r="4" spans="1:68" ht="11.25" x14ac:dyDescent="0.2">
      <c r="A4" s="9" t="s">
        <v>0</v>
      </c>
      <c r="B4" s="9" t="s">
        <v>155</v>
      </c>
      <c r="C4" s="9"/>
      <c r="D4" s="9"/>
      <c r="E4" s="9"/>
      <c r="F4" s="9"/>
      <c r="G4" s="9"/>
      <c r="H4" s="9"/>
      <c r="I4" s="9"/>
      <c r="J4" s="9" t="s">
        <v>175</v>
      </c>
      <c r="K4" s="9" t="s">
        <v>179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68" ht="11.25" x14ac:dyDescent="0.2">
      <c r="A5" s="9" t="s">
        <v>53</v>
      </c>
      <c r="B5" s="9"/>
      <c r="C5" s="9"/>
      <c r="D5" s="9"/>
      <c r="E5" s="9"/>
      <c r="F5" s="9"/>
      <c r="G5" s="9"/>
      <c r="H5" s="9"/>
      <c r="I5" s="9"/>
      <c r="J5" s="9" t="s">
        <v>172</v>
      </c>
      <c r="K5" s="9">
        <v>0.1</v>
      </c>
      <c r="L5" s="9"/>
      <c r="M5" s="9" t="s">
        <v>176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</row>
    <row r="6" spans="1:68" ht="11.25" x14ac:dyDescent="0.2">
      <c r="A6" s="9" t="s">
        <v>154</v>
      </c>
      <c r="B6" s="9"/>
      <c r="C6" s="9"/>
      <c r="D6" s="9"/>
      <c r="E6" s="9"/>
      <c r="F6" s="9"/>
      <c r="G6" s="9"/>
      <c r="H6" s="9"/>
      <c r="I6" s="9"/>
      <c r="J6" s="9" t="s">
        <v>173</v>
      </c>
      <c r="K6" s="9" t="s">
        <v>174</v>
      </c>
      <c r="L6" s="9"/>
      <c r="M6" s="9" t="s">
        <v>177</v>
      </c>
      <c r="N6" s="9" t="s">
        <v>178</v>
      </c>
      <c r="O6" s="9"/>
      <c r="P6" s="9"/>
      <c r="Q6" s="9"/>
      <c r="R6" s="9"/>
      <c r="S6" s="9"/>
      <c r="T6" s="9"/>
      <c r="U6" s="9"/>
      <c r="V6" s="9"/>
      <c r="W6" s="9"/>
      <c r="X6" s="9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</row>
    <row r="7" spans="1:68" ht="11.25" x14ac:dyDescent="0.2">
      <c r="C7" s="9"/>
      <c r="D7" s="9"/>
      <c r="E7" s="9"/>
      <c r="F7" s="9"/>
      <c r="G7" s="72">
        <f>AVERAGE(Q17:Q24)</f>
        <v>-3.1423154372265598E-3</v>
      </c>
      <c r="H7" s="52"/>
      <c r="I7" s="9"/>
      <c r="J7" s="9" t="s">
        <v>39</v>
      </c>
      <c r="K7" s="65">
        <v>43657.376388888886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9"/>
      <c r="AW7" s="52"/>
    </row>
    <row r="8" spans="1:68" ht="11.25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72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52"/>
    </row>
    <row r="9" spans="1:68" ht="12" thickBot="1" x14ac:dyDescent="0.25">
      <c r="A9" s="9"/>
      <c r="B9" s="23"/>
      <c r="C9" s="23"/>
      <c r="D9" s="23"/>
      <c r="E9" s="23"/>
      <c r="F9" s="23"/>
      <c r="G9" s="23"/>
      <c r="H9" s="23"/>
      <c r="I9" s="23"/>
      <c r="J9" s="23"/>
      <c r="K9" s="72"/>
      <c r="L9" s="9"/>
      <c r="M9" s="9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</row>
    <row r="10" spans="1:68" ht="15.75" customHeight="1" thickBot="1" x14ac:dyDescent="0.2">
      <c r="A10" s="99" t="s">
        <v>5</v>
      </c>
      <c r="B10" s="100"/>
      <c r="C10" s="100"/>
      <c r="D10" s="100"/>
      <c r="E10" s="100"/>
      <c r="F10" s="100"/>
      <c r="G10" s="99" t="s">
        <v>24</v>
      </c>
      <c r="H10" s="100"/>
      <c r="I10" s="44" t="s">
        <v>54</v>
      </c>
      <c r="J10" s="45"/>
      <c r="K10" s="101" t="s">
        <v>25</v>
      </c>
      <c r="L10" s="102"/>
      <c r="M10" s="102"/>
      <c r="N10" s="102"/>
      <c r="O10" s="102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3"/>
      <c r="AC10" s="71"/>
      <c r="AD10" s="96" t="s">
        <v>158</v>
      </c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8"/>
      <c r="AX10" s="54" t="s">
        <v>158</v>
      </c>
      <c r="AY10" s="55"/>
      <c r="AZ10" s="55"/>
      <c r="BA10" s="55"/>
      <c r="BB10" s="55"/>
      <c r="BC10" s="55"/>
      <c r="BD10" s="55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7"/>
    </row>
    <row r="11" spans="1:68" s="27" customFormat="1" ht="42" customHeight="1" x14ac:dyDescent="0.25">
      <c r="A11" s="6" t="s">
        <v>18</v>
      </c>
      <c r="B11" s="6" t="s">
        <v>2</v>
      </c>
      <c r="C11" s="6" t="s">
        <v>2</v>
      </c>
      <c r="D11" s="6" t="s">
        <v>150</v>
      </c>
      <c r="E11" s="6" t="s">
        <v>56</v>
      </c>
      <c r="F11" s="6" t="s">
        <v>56</v>
      </c>
      <c r="G11" s="6" t="s">
        <v>14</v>
      </c>
      <c r="H11" s="6" t="s">
        <v>14</v>
      </c>
      <c r="I11" s="7" t="s">
        <v>23</v>
      </c>
      <c r="J11" s="7" t="s">
        <v>159</v>
      </c>
      <c r="K11" s="6" t="s">
        <v>134</v>
      </c>
      <c r="L11" s="6" t="s">
        <v>135</v>
      </c>
      <c r="M11" s="6" t="s">
        <v>142</v>
      </c>
      <c r="N11" s="6" t="s">
        <v>136</v>
      </c>
      <c r="O11" s="6" t="s">
        <v>137</v>
      </c>
      <c r="P11" s="6" t="s">
        <v>143</v>
      </c>
      <c r="Q11" s="69" t="s">
        <v>153</v>
      </c>
      <c r="R11" s="6" t="s">
        <v>138</v>
      </c>
      <c r="S11" s="6" t="s">
        <v>139</v>
      </c>
      <c r="T11" s="6" t="s">
        <v>144</v>
      </c>
      <c r="U11" s="6" t="s">
        <v>140</v>
      </c>
      <c r="V11" s="6" t="s">
        <v>141</v>
      </c>
      <c r="W11" s="6" t="s">
        <v>145</v>
      </c>
      <c r="X11" s="6" t="s">
        <v>7</v>
      </c>
      <c r="Y11" s="6" t="s">
        <v>8</v>
      </c>
      <c r="Z11" s="6" t="s">
        <v>9</v>
      </c>
      <c r="AA11" s="6" t="s">
        <v>11</v>
      </c>
      <c r="AB11" s="6" t="s">
        <v>12</v>
      </c>
      <c r="AC11" s="69" t="s">
        <v>156</v>
      </c>
      <c r="AD11" s="6" t="s">
        <v>134</v>
      </c>
      <c r="AE11" s="6" t="s">
        <v>135</v>
      </c>
      <c r="AF11" s="6" t="s">
        <v>142</v>
      </c>
      <c r="AG11" s="6" t="s">
        <v>136</v>
      </c>
      <c r="AH11" s="6" t="s">
        <v>137</v>
      </c>
      <c r="AI11" s="6" t="s">
        <v>143</v>
      </c>
      <c r="AJ11" s="6" t="s">
        <v>138</v>
      </c>
      <c r="AK11" s="6" t="s">
        <v>139</v>
      </c>
      <c r="AL11" s="6" t="s">
        <v>144</v>
      </c>
      <c r="AM11" s="6" t="s">
        <v>140</v>
      </c>
      <c r="AN11" s="6" t="s">
        <v>141</v>
      </c>
      <c r="AO11" s="6" t="s">
        <v>145</v>
      </c>
      <c r="AP11" s="6" t="s">
        <v>7</v>
      </c>
      <c r="AQ11" s="6" t="s">
        <v>8</v>
      </c>
      <c r="AR11" s="6" t="s">
        <v>9</v>
      </c>
      <c r="AS11" s="6" t="s">
        <v>11</v>
      </c>
      <c r="AT11" s="6" t="s">
        <v>12</v>
      </c>
      <c r="AU11" s="4" t="s">
        <v>13</v>
      </c>
      <c r="AV11" s="4" t="s">
        <v>18</v>
      </c>
      <c r="AW11" s="4" t="s">
        <v>56</v>
      </c>
      <c r="AX11" s="4" t="s">
        <v>162</v>
      </c>
      <c r="AY11" s="26" t="s">
        <v>163</v>
      </c>
      <c r="AZ11" s="26" t="s">
        <v>166</v>
      </c>
      <c r="BA11" s="91" t="s">
        <v>170</v>
      </c>
      <c r="BB11" s="6" t="s">
        <v>146</v>
      </c>
      <c r="BC11" s="6" t="s">
        <v>148</v>
      </c>
      <c r="BD11" s="6"/>
      <c r="BE11" s="6"/>
      <c r="BF11" s="8"/>
      <c r="BG11" s="6"/>
      <c r="BH11" s="6"/>
      <c r="BI11" s="6"/>
      <c r="BJ11" s="6"/>
      <c r="BK11" s="26"/>
      <c r="BL11" s="26"/>
      <c r="BM11" s="26"/>
      <c r="BN11" s="26"/>
      <c r="BO11" s="26"/>
      <c r="BP11" s="26"/>
    </row>
    <row r="12" spans="1:68" s="27" customFormat="1" ht="28.5" customHeight="1" x14ac:dyDescent="0.25">
      <c r="A12" s="4" t="s">
        <v>21</v>
      </c>
      <c r="B12" s="4" t="s">
        <v>3</v>
      </c>
      <c r="C12" s="4" t="s">
        <v>22</v>
      </c>
      <c r="D12" s="4" t="s">
        <v>57</v>
      </c>
      <c r="E12" s="4" t="s">
        <v>22</v>
      </c>
      <c r="F12" s="4" t="s">
        <v>57</v>
      </c>
      <c r="G12" s="4" t="s">
        <v>23</v>
      </c>
      <c r="H12" s="7" t="s">
        <v>159</v>
      </c>
      <c r="I12" s="7" t="s">
        <v>55</v>
      </c>
      <c r="J12" s="7" t="s">
        <v>55</v>
      </c>
      <c r="K12" s="4" t="s">
        <v>19</v>
      </c>
      <c r="L12" s="4" t="s">
        <v>19</v>
      </c>
      <c r="M12" s="4" t="s">
        <v>19</v>
      </c>
      <c r="N12" s="4" t="s">
        <v>19</v>
      </c>
      <c r="O12" s="4" t="s">
        <v>19</v>
      </c>
      <c r="P12" s="4" t="s">
        <v>19</v>
      </c>
      <c r="Q12" s="4" t="s">
        <v>152</v>
      </c>
      <c r="R12" s="4" t="s">
        <v>6</v>
      </c>
      <c r="S12" s="4" t="s">
        <v>6</v>
      </c>
      <c r="T12" s="4" t="s">
        <v>6</v>
      </c>
      <c r="U12" s="4" t="s">
        <v>17</v>
      </c>
      <c r="V12" s="4" t="s">
        <v>17</v>
      </c>
      <c r="W12" s="4" t="s">
        <v>17</v>
      </c>
      <c r="X12" s="4" t="s">
        <v>10</v>
      </c>
      <c r="Y12" s="4" t="s">
        <v>10</v>
      </c>
      <c r="Z12" s="4" t="s">
        <v>10</v>
      </c>
      <c r="AA12" s="4" t="s">
        <v>10</v>
      </c>
      <c r="AB12" s="4" t="s">
        <v>10</v>
      </c>
      <c r="AC12" s="4" t="s">
        <v>152</v>
      </c>
      <c r="AD12" s="4" t="s">
        <v>19</v>
      </c>
      <c r="AE12" s="4" t="s">
        <v>19</v>
      </c>
      <c r="AF12" s="4" t="s">
        <v>19</v>
      </c>
      <c r="AG12" s="4" t="s">
        <v>19</v>
      </c>
      <c r="AH12" s="4" t="s">
        <v>19</v>
      </c>
      <c r="AI12" s="4" t="s">
        <v>19</v>
      </c>
      <c r="AJ12" s="4" t="s">
        <v>6</v>
      </c>
      <c r="AK12" s="4" t="s">
        <v>6</v>
      </c>
      <c r="AL12" s="4" t="s">
        <v>6</v>
      </c>
      <c r="AM12" s="4" t="s">
        <v>17</v>
      </c>
      <c r="AN12" s="4" t="s">
        <v>17</v>
      </c>
      <c r="AO12" s="4" t="s">
        <v>17</v>
      </c>
      <c r="AP12" s="4" t="s">
        <v>10</v>
      </c>
      <c r="AQ12" s="4" t="s">
        <v>10</v>
      </c>
      <c r="AR12" s="4" t="s">
        <v>10</v>
      </c>
      <c r="AS12" s="4" t="s">
        <v>10</v>
      </c>
      <c r="AT12" s="4" t="s">
        <v>10</v>
      </c>
      <c r="AU12" s="4"/>
      <c r="AV12" s="61" t="s">
        <v>21</v>
      </c>
      <c r="AW12" s="61" t="s">
        <v>57</v>
      </c>
      <c r="AX12" s="26" t="s">
        <v>164</v>
      </c>
      <c r="AY12" s="26" t="s">
        <v>165</v>
      </c>
      <c r="AZ12" s="26" t="s">
        <v>167</v>
      </c>
      <c r="BA12" s="63" t="s">
        <v>171</v>
      </c>
      <c r="BB12" s="61" t="s">
        <v>147</v>
      </c>
      <c r="BC12" s="61" t="s">
        <v>149</v>
      </c>
      <c r="BD12" s="61"/>
      <c r="BE12" s="61"/>
      <c r="BF12" s="62"/>
      <c r="BG12" s="61"/>
      <c r="BH12" s="61"/>
      <c r="BI12" s="61"/>
      <c r="BJ12" s="61"/>
      <c r="BK12" s="63"/>
      <c r="BL12" s="63"/>
      <c r="BM12" s="63"/>
      <c r="BN12" s="63"/>
      <c r="BO12" s="63"/>
      <c r="BP12" s="63"/>
    </row>
    <row r="13" spans="1:68" ht="14.25" customHeight="1" x14ac:dyDescent="0.15">
      <c r="A13" s="51" t="s">
        <v>59</v>
      </c>
      <c r="B13" s="73">
        <v>43653.787499999999</v>
      </c>
      <c r="C13" s="51">
        <v>0</v>
      </c>
      <c r="D13" s="51">
        <f>C13/24</f>
        <v>0</v>
      </c>
      <c r="E13" s="46">
        <f>(B13-$K$7)*24</f>
        <v>-86.133333333302289</v>
      </c>
      <c r="F13" s="51">
        <f t="shared" ref="F13:F61" si="0">E13/24</f>
        <v>-3.5888888888875954</v>
      </c>
      <c r="G13" s="51">
        <v>7.69</v>
      </c>
      <c r="H13" s="51">
        <v>7.73</v>
      </c>
      <c r="I13" s="46">
        <v>147.07</v>
      </c>
      <c r="J13" s="46">
        <v>133.56</v>
      </c>
      <c r="K13" s="46">
        <v>0.54</v>
      </c>
      <c r="L13" s="46">
        <v>0.55000000000000004</v>
      </c>
      <c r="M13" s="46">
        <f>AVERAGE(K13:L13)</f>
        <v>0.54500000000000004</v>
      </c>
      <c r="N13" s="46">
        <v>0.57999999999999996</v>
      </c>
      <c r="O13" s="46">
        <v>0.57999999999999996</v>
      </c>
      <c r="P13" s="46">
        <f>AVERAGE(N13:O13)</f>
        <v>0.57999999999999996</v>
      </c>
      <c r="Q13" s="66" t="e">
        <f t="shared" ref="Q13:Q61" si="1">(LN(M13)-LN(M12))/(C13-C12)</f>
        <v>#VALUE!</v>
      </c>
      <c r="R13" s="46">
        <v>93.2</v>
      </c>
      <c r="S13" s="46">
        <v>93.9</v>
      </c>
      <c r="T13" s="46">
        <f>AVERAGE(R13:S13)</f>
        <v>93.550000000000011</v>
      </c>
      <c r="U13" s="59">
        <v>15.34</v>
      </c>
      <c r="V13" s="59">
        <v>15.23</v>
      </c>
      <c r="W13" s="46">
        <f>AVERAGE(U13:V13)</f>
        <v>15.285</v>
      </c>
      <c r="X13" s="46"/>
      <c r="Y13" s="46"/>
      <c r="Z13" s="46"/>
      <c r="AA13" s="46"/>
      <c r="AB13" s="46"/>
      <c r="AC13" s="66"/>
      <c r="AD13" s="51">
        <v>0.62</v>
      </c>
      <c r="AE13" s="51">
        <v>0.6</v>
      </c>
      <c r="AF13" s="46">
        <f>AVERAGE(AD13:AE13)</f>
        <v>0.61</v>
      </c>
      <c r="AG13" s="51">
        <v>0.65</v>
      </c>
      <c r="AH13" s="51">
        <v>0.62</v>
      </c>
      <c r="AI13" s="46">
        <f>AVERAGE(AG13:AH13)</f>
        <v>0.63500000000000001</v>
      </c>
      <c r="AJ13" s="51">
        <v>95.8</v>
      </c>
      <c r="AK13" s="51">
        <v>96.3</v>
      </c>
      <c r="AL13" s="46">
        <f>AVERAGE(AJ13:AK13)</f>
        <v>96.05</v>
      </c>
      <c r="AM13" s="51">
        <v>15.27</v>
      </c>
      <c r="AN13" s="51">
        <v>15.4</v>
      </c>
      <c r="AO13" s="46">
        <f>AVERAGE(AM13:AN13)</f>
        <v>15.335000000000001</v>
      </c>
      <c r="AP13" s="51"/>
      <c r="AQ13" s="51"/>
      <c r="AT13" s="51"/>
      <c r="AU13" s="51"/>
      <c r="AV13" s="51" t="str">
        <f>A13</f>
        <v>PN0</v>
      </c>
      <c r="AW13" s="46">
        <f>F13</f>
        <v>-3.5888888888875954</v>
      </c>
      <c r="AX13" s="89"/>
      <c r="AY13" s="5"/>
      <c r="AZ13" s="58"/>
      <c r="BA13" s="58"/>
      <c r="BB13" s="58"/>
      <c r="BC13" s="58"/>
      <c r="BD13" s="58"/>
      <c r="BE13" s="5"/>
      <c r="BF13" s="5"/>
      <c r="BG13" s="5"/>
      <c r="BH13" s="5"/>
      <c r="BI13" s="5"/>
      <c r="BJ13" s="5"/>
      <c r="BK13" s="51"/>
      <c r="BL13" s="51"/>
      <c r="BM13" s="51"/>
      <c r="BN13" s="51"/>
      <c r="BO13" s="51"/>
      <c r="BP13" s="51"/>
    </row>
    <row r="14" spans="1:68" ht="14.25" customHeight="1" x14ac:dyDescent="0.15">
      <c r="A14" s="76" t="s">
        <v>60</v>
      </c>
      <c r="B14" s="77">
        <v>43654.802083333336</v>
      </c>
      <c r="C14" s="76">
        <f>(B14-B13)*24+C13</f>
        <v>24.350000000093132</v>
      </c>
      <c r="D14" s="76">
        <f t="shared" ref="D14:D48" si="2">C14/24</f>
        <v>1.0145833333372138</v>
      </c>
      <c r="E14" s="78">
        <f t="shared" ref="E14:E17" si="3">(B14-$K$7)*24</f>
        <v>-61.783333333209157</v>
      </c>
      <c r="F14" s="76">
        <f t="shared" si="0"/>
        <v>-2.5743055555503815</v>
      </c>
      <c r="G14" s="76">
        <v>7.63</v>
      </c>
      <c r="H14" s="76">
        <v>7.65</v>
      </c>
      <c r="I14" s="78">
        <v>142.69999999999999</v>
      </c>
      <c r="J14" s="78">
        <v>128.74</v>
      </c>
      <c r="K14" s="78">
        <v>1.35</v>
      </c>
      <c r="L14" s="78">
        <v>1.3</v>
      </c>
      <c r="M14" s="78">
        <f t="shared" ref="M14:M61" si="4">AVERAGE(K14:L14)</f>
        <v>1.3250000000000002</v>
      </c>
      <c r="N14" s="78">
        <v>1.42</v>
      </c>
      <c r="O14" s="78">
        <v>1.36</v>
      </c>
      <c r="P14" s="78">
        <f t="shared" ref="P14:P42" si="5">AVERAGE(N14:O14)</f>
        <v>1.3900000000000001</v>
      </c>
      <c r="Q14" s="79">
        <f t="shared" si="1"/>
        <v>3.6483858059699413E-2</v>
      </c>
      <c r="R14" s="78">
        <v>94.7</v>
      </c>
      <c r="S14" s="78">
        <v>95.5</v>
      </c>
      <c r="T14" s="78">
        <f t="shared" ref="T14:T46" si="6">AVERAGE(R14:S14)</f>
        <v>95.1</v>
      </c>
      <c r="U14" s="78">
        <v>15.46</v>
      </c>
      <c r="V14" s="78">
        <v>15.52</v>
      </c>
      <c r="W14" s="78">
        <f t="shared" ref="W14:W46" si="7">AVERAGE(U14:V14)</f>
        <v>15.49</v>
      </c>
      <c r="X14" s="78"/>
      <c r="Y14" s="78"/>
      <c r="Z14" s="78"/>
      <c r="AA14" s="78"/>
      <c r="AB14" s="78"/>
      <c r="AC14" s="79"/>
      <c r="AD14" s="76">
        <v>1.39</v>
      </c>
      <c r="AE14" s="76"/>
      <c r="AF14" s="78">
        <f t="shared" ref="AF14:AF61" si="8">AVERAGE(AD14:AE14)</f>
        <v>1.39</v>
      </c>
      <c r="AG14" s="76">
        <v>1.46</v>
      </c>
      <c r="AH14" s="76"/>
      <c r="AI14" s="78">
        <f t="shared" ref="AI14:AI60" si="9">AVERAGE(AG14:AH14)</f>
        <v>1.46</v>
      </c>
      <c r="AJ14" s="76">
        <v>95</v>
      </c>
      <c r="AK14" s="76"/>
      <c r="AL14" s="78">
        <f t="shared" ref="AL14:AL61" si="10">AVERAGE(AJ14:AK14)</f>
        <v>95</v>
      </c>
      <c r="AM14" s="76">
        <v>15.59</v>
      </c>
      <c r="AN14" s="76"/>
      <c r="AO14" s="78">
        <f t="shared" ref="AO14:AO60" si="11">AVERAGE(AM14:AN14)</f>
        <v>15.59</v>
      </c>
      <c r="AP14" s="76"/>
      <c r="AQ14" s="76"/>
      <c r="AT14" s="76"/>
      <c r="AU14" s="76"/>
      <c r="AV14" s="51" t="str">
        <f t="shared" ref="AV14:AV61" si="12">A14</f>
        <v>PN1</v>
      </c>
      <c r="AW14" s="46">
        <f t="shared" ref="AW14:AW61" si="13">F14</f>
        <v>-2.5743055555503815</v>
      </c>
      <c r="AX14" s="89"/>
      <c r="AY14" s="80"/>
      <c r="AZ14" s="81"/>
      <c r="BA14" s="81"/>
      <c r="BB14" s="81"/>
      <c r="BD14" s="81"/>
      <c r="BG14" s="80"/>
      <c r="BH14" s="80"/>
      <c r="BI14" s="80"/>
      <c r="BJ14" s="80"/>
      <c r="BK14" s="85"/>
      <c r="BL14" s="76"/>
      <c r="BM14" s="76"/>
      <c r="BN14" s="76"/>
      <c r="BO14" s="76"/>
      <c r="BP14" s="76"/>
    </row>
    <row r="15" spans="1:68" ht="14.25" customHeight="1" x14ac:dyDescent="0.15">
      <c r="A15" s="51" t="s">
        <v>61</v>
      </c>
      <c r="B15" s="65">
        <v>43655.348611111112</v>
      </c>
      <c r="C15" s="51">
        <f>(B15-B14)*24+C14</f>
        <v>37.466666666732635</v>
      </c>
      <c r="D15" s="51">
        <f t="shared" si="2"/>
        <v>1.5611111111138598</v>
      </c>
      <c r="E15" s="46">
        <f t="shared" si="3"/>
        <v>-48.666666666569654</v>
      </c>
      <c r="F15" s="51">
        <f t="shared" si="0"/>
        <v>-2.0277777777737356</v>
      </c>
      <c r="G15" s="51">
        <v>7.59</v>
      </c>
      <c r="H15" s="51">
        <v>7.58</v>
      </c>
      <c r="I15" s="46">
        <v>145.76</v>
      </c>
      <c r="J15" s="46">
        <v>132.55000000000001</v>
      </c>
      <c r="K15" s="46">
        <v>2.13</v>
      </c>
      <c r="L15" s="46">
        <v>2.0299999999999998</v>
      </c>
      <c r="M15" s="46">
        <f t="shared" si="4"/>
        <v>2.08</v>
      </c>
      <c r="N15" s="46">
        <v>2.2400000000000002</v>
      </c>
      <c r="O15" s="46">
        <v>2.12</v>
      </c>
      <c r="P15" s="46">
        <f t="shared" si="5"/>
        <v>2.1800000000000002</v>
      </c>
      <c r="Q15" s="66">
        <f t="shared" si="1"/>
        <v>3.4380338064242046E-2</v>
      </c>
      <c r="R15" s="46">
        <v>95.3</v>
      </c>
      <c r="S15" s="46">
        <v>95.8</v>
      </c>
      <c r="T15" s="46">
        <f t="shared" si="6"/>
        <v>95.55</v>
      </c>
      <c r="U15" s="46">
        <v>15.58</v>
      </c>
      <c r="V15" s="46">
        <v>15.65</v>
      </c>
      <c r="W15" s="46">
        <f t="shared" si="7"/>
        <v>15.615</v>
      </c>
      <c r="X15" s="46"/>
      <c r="Y15" s="46"/>
      <c r="Z15" s="46"/>
      <c r="AA15" s="46"/>
      <c r="AB15" s="46"/>
      <c r="AC15" s="1"/>
      <c r="AD15" s="51">
        <v>2.02</v>
      </c>
      <c r="AE15" s="51">
        <v>2.14</v>
      </c>
      <c r="AF15" s="46">
        <f t="shared" si="8"/>
        <v>2.08</v>
      </c>
      <c r="AG15" s="51">
        <v>2.11</v>
      </c>
      <c r="AH15" s="51">
        <v>2.23</v>
      </c>
      <c r="AI15" s="46">
        <f t="shared" si="9"/>
        <v>2.17</v>
      </c>
      <c r="AJ15" s="51">
        <v>95.7</v>
      </c>
      <c r="AK15" s="51">
        <v>95.9</v>
      </c>
      <c r="AL15" s="46">
        <f t="shared" si="10"/>
        <v>95.800000000000011</v>
      </c>
      <c r="AM15" s="51">
        <v>15.57</v>
      </c>
      <c r="AN15" s="51">
        <v>15.54</v>
      </c>
      <c r="AO15" s="46">
        <f t="shared" si="11"/>
        <v>15.555</v>
      </c>
      <c r="AP15" s="51"/>
      <c r="AQ15" s="51"/>
      <c r="AR15" s="1"/>
      <c r="AS15" s="1"/>
      <c r="AT15" s="51"/>
      <c r="AU15" s="51"/>
      <c r="AV15" s="51" t="str">
        <f t="shared" si="12"/>
        <v>PN2</v>
      </c>
      <c r="AW15" s="46">
        <f t="shared" si="13"/>
        <v>-2.0277777777737356</v>
      </c>
      <c r="AX15" s="89"/>
      <c r="AY15" s="5"/>
      <c r="AZ15" s="58"/>
      <c r="BA15" s="58"/>
      <c r="BB15" s="58"/>
      <c r="BC15" s="58"/>
      <c r="BD15" s="58"/>
      <c r="BE15" s="5"/>
      <c r="BF15" s="1"/>
      <c r="BG15" s="5"/>
      <c r="BH15" s="5"/>
      <c r="BI15" s="5"/>
      <c r="BJ15" s="5"/>
      <c r="BK15" s="64"/>
      <c r="BL15" s="51"/>
      <c r="BM15" s="51"/>
      <c r="BN15" s="51"/>
      <c r="BO15" s="51"/>
      <c r="BP15" s="51"/>
    </row>
    <row r="16" spans="1:68" ht="14.25" customHeight="1" x14ac:dyDescent="0.15">
      <c r="A16" s="51" t="s">
        <v>62</v>
      </c>
      <c r="B16" s="65">
        <v>43655.8125</v>
      </c>
      <c r="C16" s="51">
        <f t="shared" ref="C16:C48" si="14">(B16-B15)*24+C15</f>
        <v>48.600000000034925</v>
      </c>
      <c r="D16" s="51">
        <f t="shared" si="2"/>
        <v>2.0250000000014552</v>
      </c>
      <c r="E16" s="46">
        <f t="shared" si="3"/>
        <v>-37.533333333267365</v>
      </c>
      <c r="F16" s="51">
        <f t="shared" si="0"/>
        <v>-1.5638888888861402</v>
      </c>
      <c r="G16" s="51">
        <v>7.42</v>
      </c>
      <c r="H16" s="51">
        <v>7.46</v>
      </c>
      <c r="I16" s="46">
        <v>145.99</v>
      </c>
      <c r="J16" s="46">
        <v>132.53</v>
      </c>
      <c r="K16" s="46">
        <v>3.16</v>
      </c>
      <c r="L16" s="46">
        <v>2.9</v>
      </c>
      <c r="M16" s="46">
        <f t="shared" si="4"/>
        <v>3.0300000000000002</v>
      </c>
      <c r="N16" s="46">
        <v>3.34</v>
      </c>
      <c r="O16" s="46">
        <v>3.07</v>
      </c>
      <c r="P16" s="46">
        <f t="shared" si="5"/>
        <v>3.2050000000000001</v>
      </c>
      <c r="Q16" s="66">
        <f t="shared" si="1"/>
        <v>3.3789945431955112E-2</v>
      </c>
      <c r="R16" s="46">
        <v>94.5</v>
      </c>
      <c r="S16" s="46">
        <v>94.6</v>
      </c>
      <c r="T16" s="46">
        <f t="shared" si="6"/>
        <v>94.55</v>
      </c>
      <c r="U16" s="46">
        <v>15.46</v>
      </c>
      <c r="V16" s="46">
        <v>15.56</v>
      </c>
      <c r="W16" s="46">
        <f t="shared" si="7"/>
        <v>15.510000000000002</v>
      </c>
      <c r="X16" s="46"/>
      <c r="Y16" s="46"/>
      <c r="Z16" s="46"/>
      <c r="AA16" s="46"/>
      <c r="AB16" s="46"/>
      <c r="AC16" s="66"/>
      <c r="AD16" s="51">
        <v>2.91</v>
      </c>
      <c r="AE16" s="51">
        <v>2.92</v>
      </c>
      <c r="AF16" s="46">
        <f t="shared" si="8"/>
        <v>2.915</v>
      </c>
      <c r="AG16" s="51">
        <v>3.03</v>
      </c>
      <c r="AH16" s="51">
        <v>3.05</v>
      </c>
      <c r="AI16" s="46">
        <f t="shared" si="9"/>
        <v>3.04</v>
      </c>
      <c r="AJ16" s="51">
        <v>95.9</v>
      </c>
      <c r="AK16" s="51">
        <v>95.7</v>
      </c>
      <c r="AL16" s="46">
        <f t="shared" si="10"/>
        <v>95.800000000000011</v>
      </c>
      <c r="AM16" s="51">
        <v>16.059999999999999</v>
      </c>
      <c r="AN16" s="51">
        <v>16.02</v>
      </c>
      <c r="AO16" s="46">
        <f t="shared" si="11"/>
        <v>16.04</v>
      </c>
      <c r="AP16" s="51"/>
      <c r="AQ16" s="51"/>
      <c r="AR16" s="1"/>
      <c r="AS16" s="1"/>
      <c r="AT16" s="51"/>
      <c r="AU16" s="51"/>
      <c r="AV16" s="51" t="str">
        <f t="shared" si="12"/>
        <v>PN3</v>
      </c>
      <c r="AW16" s="46">
        <f t="shared" si="13"/>
        <v>-1.5638888888861402</v>
      </c>
      <c r="AX16" s="89"/>
      <c r="AY16" s="5"/>
      <c r="AZ16" s="58"/>
      <c r="BA16" s="58"/>
      <c r="BB16" s="58"/>
      <c r="BC16" s="58"/>
      <c r="BD16" s="58"/>
      <c r="BE16" s="5"/>
      <c r="BF16" s="5"/>
      <c r="BG16" s="5"/>
      <c r="BH16" s="5"/>
      <c r="BI16" s="5"/>
      <c r="BJ16" s="5"/>
      <c r="BK16" s="64"/>
      <c r="BL16" s="51"/>
      <c r="BM16" s="51"/>
      <c r="BN16" s="51"/>
      <c r="BO16" s="51"/>
      <c r="BP16" s="51"/>
    </row>
    <row r="17" spans="1:68" ht="14.25" customHeight="1" x14ac:dyDescent="0.15">
      <c r="A17" s="51" t="s">
        <v>63</v>
      </c>
      <c r="B17" s="65">
        <v>43656.36041666667</v>
      </c>
      <c r="C17" s="51">
        <f t="shared" si="14"/>
        <v>61.750000000116415</v>
      </c>
      <c r="D17" s="51">
        <f t="shared" si="2"/>
        <v>2.5729166666715173</v>
      </c>
      <c r="E17" s="46">
        <f t="shared" si="3"/>
        <v>-24.383333333185874</v>
      </c>
      <c r="F17" s="51">
        <f t="shared" si="0"/>
        <v>-1.0159722222160781</v>
      </c>
      <c r="G17" s="51">
        <v>7.44</v>
      </c>
      <c r="H17" s="51">
        <v>7.5</v>
      </c>
      <c r="I17" s="46">
        <v>145.22999999999999</v>
      </c>
      <c r="J17" s="46">
        <v>134.79</v>
      </c>
      <c r="K17" s="46">
        <v>3.1</v>
      </c>
      <c r="L17" s="46">
        <v>3.1</v>
      </c>
      <c r="M17" s="46">
        <f t="shared" si="4"/>
        <v>3.1</v>
      </c>
      <c r="N17" s="46">
        <v>3.29</v>
      </c>
      <c r="O17" s="46">
        <v>3.28</v>
      </c>
      <c r="P17" s="46">
        <f t="shared" si="5"/>
        <v>3.2850000000000001</v>
      </c>
      <c r="Q17" s="66">
        <f t="shared" si="1"/>
        <v>1.7368434957932453E-3</v>
      </c>
      <c r="R17" s="46">
        <v>94.2</v>
      </c>
      <c r="S17" s="46">
        <v>94.6</v>
      </c>
      <c r="T17" s="46">
        <f t="shared" si="6"/>
        <v>94.4</v>
      </c>
      <c r="U17" s="46">
        <v>15.4</v>
      </c>
      <c r="V17" s="46">
        <v>15.38</v>
      </c>
      <c r="W17" s="46">
        <f t="shared" si="7"/>
        <v>15.39</v>
      </c>
      <c r="X17" s="46"/>
      <c r="Y17" s="46"/>
      <c r="Z17" s="46"/>
      <c r="AA17" s="46"/>
      <c r="AB17" s="46"/>
      <c r="AC17" s="66"/>
      <c r="AD17" s="51">
        <v>2.2999999999999998</v>
      </c>
      <c r="AE17" s="51">
        <v>2.41</v>
      </c>
      <c r="AF17" s="46">
        <f t="shared" si="8"/>
        <v>2.355</v>
      </c>
      <c r="AG17" s="51">
        <v>2.46</v>
      </c>
      <c r="AH17" s="51">
        <v>2.54</v>
      </c>
      <c r="AI17" s="46">
        <f t="shared" si="9"/>
        <v>2.5</v>
      </c>
      <c r="AJ17" s="51">
        <v>93.7</v>
      </c>
      <c r="AK17" s="51">
        <v>95</v>
      </c>
      <c r="AL17" s="46">
        <f t="shared" si="10"/>
        <v>94.35</v>
      </c>
      <c r="AM17" s="51">
        <v>15.57</v>
      </c>
      <c r="AN17" s="51">
        <v>15.58</v>
      </c>
      <c r="AO17" s="46">
        <f t="shared" si="11"/>
        <v>15.574999999999999</v>
      </c>
      <c r="AP17" s="51"/>
      <c r="AQ17" s="51"/>
      <c r="AR17" s="1"/>
      <c r="AS17" s="1"/>
      <c r="AT17" s="51"/>
      <c r="AU17" s="51"/>
      <c r="AV17" s="51" t="str">
        <f t="shared" si="12"/>
        <v>PN4</v>
      </c>
      <c r="AW17" s="46">
        <f t="shared" si="13"/>
        <v>-1.0159722222160781</v>
      </c>
      <c r="AX17" s="89"/>
      <c r="AY17" s="5"/>
      <c r="AZ17" s="58"/>
      <c r="BA17" s="58"/>
      <c r="BB17" s="58"/>
      <c r="BC17" s="1"/>
      <c r="BD17" s="58"/>
      <c r="BE17" s="1"/>
      <c r="BF17" s="5"/>
      <c r="BG17" s="5"/>
      <c r="BH17" s="5"/>
      <c r="BI17" s="5"/>
      <c r="BJ17" s="5"/>
      <c r="BK17" s="64"/>
      <c r="BL17" s="51"/>
      <c r="BM17" s="51"/>
      <c r="BN17" s="51"/>
      <c r="BO17" s="51"/>
      <c r="BP17" s="51"/>
    </row>
    <row r="18" spans="1:68" ht="14.25" customHeight="1" x14ac:dyDescent="0.15">
      <c r="A18" s="51" t="s">
        <v>64</v>
      </c>
      <c r="B18" s="65">
        <v>43656.87777777778</v>
      </c>
      <c r="C18" s="51">
        <f t="shared" si="14"/>
        <v>74.166666666744277</v>
      </c>
      <c r="D18" s="51">
        <f t="shared" si="2"/>
        <v>3.0902777777810115</v>
      </c>
      <c r="E18" s="46">
        <f>(B18-$K$7)*24</f>
        <v>-11.966666666558012</v>
      </c>
      <c r="F18" s="51">
        <f t="shared" si="0"/>
        <v>-0.49861111110658385</v>
      </c>
      <c r="G18" s="51"/>
      <c r="H18" s="51"/>
      <c r="I18" s="46">
        <v>144.99</v>
      </c>
      <c r="J18" s="46">
        <v>134.69999999999999</v>
      </c>
      <c r="K18" s="46">
        <v>3.19</v>
      </c>
      <c r="L18" s="46">
        <v>3.28</v>
      </c>
      <c r="M18" s="46">
        <f t="shared" si="4"/>
        <v>3.2349999999999999</v>
      </c>
      <c r="N18" s="46">
        <v>3.37</v>
      </c>
      <c r="O18" s="46">
        <v>3.46</v>
      </c>
      <c r="P18" s="46">
        <f t="shared" si="5"/>
        <v>3.415</v>
      </c>
      <c r="Q18" s="66">
        <f t="shared" si="1"/>
        <v>3.4330321982735503E-3</v>
      </c>
      <c r="R18" s="46">
        <v>94.7</v>
      </c>
      <c r="S18" s="46">
        <v>94.7</v>
      </c>
      <c r="T18" s="46">
        <f t="shared" si="6"/>
        <v>94.7</v>
      </c>
      <c r="U18" s="46">
        <v>15.55</v>
      </c>
      <c r="V18" s="46">
        <v>15.52</v>
      </c>
      <c r="W18" s="46">
        <f t="shared" si="7"/>
        <v>15.535</v>
      </c>
      <c r="X18" s="46"/>
      <c r="Y18" s="46"/>
      <c r="Z18" s="46"/>
      <c r="AA18" s="1"/>
      <c r="AB18" s="46"/>
      <c r="AC18" s="66"/>
      <c r="AD18" s="46">
        <v>2.39</v>
      </c>
      <c r="AE18" s="46">
        <v>2.38</v>
      </c>
      <c r="AF18" s="46">
        <f t="shared" si="8"/>
        <v>2.3849999999999998</v>
      </c>
      <c r="AG18" s="46">
        <v>2.5099999999999998</v>
      </c>
      <c r="AH18" s="46">
        <v>2.54</v>
      </c>
      <c r="AI18" s="46">
        <f t="shared" si="9"/>
        <v>2.5249999999999999</v>
      </c>
      <c r="AJ18" s="46">
        <v>95.1</v>
      </c>
      <c r="AK18" s="46">
        <v>94</v>
      </c>
      <c r="AL18" s="46">
        <f t="shared" si="10"/>
        <v>94.55</v>
      </c>
      <c r="AM18" s="46">
        <v>15.62</v>
      </c>
      <c r="AN18" s="46">
        <v>15.67</v>
      </c>
      <c r="AO18" s="46">
        <f t="shared" si="11"/>
        <v>15.645</v>
      </c>
      <c r="AP18" s="46"/>
      <c r="AQ18" s="46"/>
      <c r="AR18" s="1"/>
      <c r="AS18" s="1"/>
      <c r="AT18" s="46"/>
      <c r="AU18" s="51"/>
      <c r="AV18" s="51" t="str">
        <f t="shared" si="12"/>
        <v>PN5</v>
      </c>
      <c r="AW18" s="46">
        <f t="shared" si="13"/>
        <v>-0.49861111110658385</v>
      </c>
      <c r="AX18" s="89"/>
      <c r="AY18" s="5"/>
      <c r="AZ18" s="58"/>
      <c r="BA18" s="58"/>
      <c r="BB18" s="58"/>
      <c r="BC18" s="58"/>
      <c r="BD18" s="58"/>
      <c r="BE18" s="5"/>
      <c r="BF18" s="1"/>
      <c r="BG18" s="5"/>
      <c r="BH18" s="5"/>
      <c r="BI18" s="5"/>
      <c r="BJ18" s="5"/>
      <c r="BK18" s="64"/>
      <c r="BL18" s="60"/>
      <c r="BM18" s="51"/>
      <c r="BN18" s="46"/>
      <c r="BO18" s="58"/>
      <c r="BP18" s="60"/>
    </row>
    <row r="19" spans="1:68" ht="14.25" customHeight="1" x14ac:dyDescent="0.15">
      <c r="A19" s="51" t="s">
        <v>65</v>
      </c>
      <c r="B19" s="65">
        <v>43657.361111111109</v>
      </c>
      <c r="C19" s="51">
        <f t="shared" si="14"/>
        <v>85.766666666662786</v>
      </c>
      <c r="D19" s="51">
        <f t="shared" si="2"/>
        <v>3.5736111111109494</v>
      </c>
      <c r="E19" s="46">
        <f t="shared" ref="E19:E61" si="15">(B19-$K$7)*24</f>
        <v>-0.36666666663950309</v>
      </c>
      <c r="F19" s="51">
        <f t="shared" si="0"/>
        <v>-1.5277777776645962E-2</v>
      </c>
      <c r="G19" s="51"/>
      <c r="H19" s="51"/>
      <c r="I19" s="46">
        <v>145.09</v>
      </c>
      <c r="J19" s="46">
        <v>134.6</v>
      </c>
      <c r="K19" s="46">
        <v>2.99</v>
      </c>
      <c r="L19" s="46">
        <v>2.86</v>
      </c>
      <c r="M19" s="46">
        <f t="shared" si="4"/>
        <v>2.9249999999999998</v>
      </c>
      <c r="N19" s="46">
        <v>3.15</v>
      </c>
      <c r="O19" s="46">
        <v>3.03</v>
      </c>
      <c r="P19" s="46">
        <f t="shared" si="5"/>
        <v>3.09</v>
      </c>
      <c r="Q19" s="66">
        <f t="shared" si="1"/>
        <v>-8.6840040749786018E-3</v>
      </c>
      <c r="R19" s="46">
        <v>94.9</v>
      </c>
      <c r="S19" s="46">
        <v>94.5</v>
      </c>
      <c r="T19" s="46">
        <f t="shared" si="6"/>
        <v>94.7</v>
      </c>
      <c r="U19" s="46">
        <v>15.56</v>
      </c>
      <c r="V19" s="46">
        <v>15.67</v>
      </c>
      <c r="W19" s="46">
        <f t="shared" si="7"/>
        <v>15.615</v>
      </c>
      <c r="X19" s="46"/>
      <c r="Y19" s="46"/>
      <c r="Z19" s="46"/>
      <c r="AA19" s="1"/>
      <c r="AB19" s="46"/>
      <c r="AC19" s="66"/>
      <c r="AD19" s="51">
        <v>2.5499999999999998</v>
      </c>
      <c r="AE19" s="51">
        <v>2.44</v>
      </c>
      <c r="AF19" s="46">
        <f t="shared" si="8"/>
        <v>2.4950000000000001</v>
      </c>
      <c r="AG19" s="51">
        <v>2.68</v>
      </c>
      <c r="AH19" s="51">
        <v>2.57</v>
      </c>
      <c r="AI19" s="46">
        <f t="shared" si="9"/>
        <v>2.625</v>
      </c>
      <c r="AJ19" s="51">
        <v>94.9</v>
      </c>
      <c r="AK19" s="51">
        <v>95</v>
      </c>
      <c r="AL19" s="46">
        <f t="shared" si="10"/>
        <v>94.95</v>
      </c>
      <c r="AM19" s="51">
        <v>15.64</v>
      </c>
      <c r="AN19" s="51">
        <v>15.85</v>
      </c>
      <c r="AO19" s="46">
        <f t="shared" si="11"/>
        <v>15.745000000000001</v>
      </c>
      <c r="AP19" s="46"/>
      <c r="AQ19" s="46"/>
      <c r="AR19" s="1"/>
      <c r="AS19" s="1"/>
      <c r="AT19" s="46"/>
      <c r="AU19" s="75" t="s">
        <v>161</v>
      </c>
      <c r="AV19" s="51" t="str">
        <f t="shared" si="12"/>
        <v>PN6</v>
      </c>
      <c r="AW19" s="46">
        <f t="shared" si="13"/>
        <v>-1.5277777776645962E-2</v>
      </c>
      <c r="AX19" s="89">
        <v>0</v>
      </c>
      <c r="AY19" s="5"/>
      <c r="AZ19" s="58">
        <v>280000</v>
      </c>
      <c r="BA19" s="58">
        <v>240000</v>
      </c>
      <c r="BB19" s="58">
        <v>12741057.110198367</v>
      </c>
      <c r="BC19" s="58"/>
      <c r="BD19" s="58"/>
      <c r="BE19" s="5"/>
      <c r="BF19" s="5"/>
      <c r="BG19" s="5"/>
      <c r="BH19" s="5"/>
      <c r="BI19" s="5"/>
      <c r="BJ19" s="5"/>
      <c r="BK19" s="64"/>
      <c r="BL19" s="60"/>
      <c r="BM19" s="58"/>
      <c r="BN19" s="46"/>
      <c r="BO19" s="58"/>
      <c r="BP19" s="60"/>
    </row>
    <row r="20" spans="1:68" ht="14.25" customHeight="1" x14ac:dyDescent="0.15">
      <c r="A20" s="51" t="s">
        <v>66</v>
      </c>
      <c r="B20" s="65">
        <v>43657.872916666667</v>
      </c>
      <c r="C20" s="51">
        <f t="shared" si="14"/>
        <v>98.050000000046566</v>
      </c>
      <c r="D20" s="51">
        <f t="shared" si="2"/>
        <v>4.0854166666686069</v>
      </c>
      <c r="E20" s="46">
        <f t="shared" si="15"/>
        <v>11.916666666744277</v>
      </c>
      <c r="F20" s="51">
        <f t="shared" si="0"/>
        <v>0.49652777778101154</v>
      </c>
      <c r="G20" s="51"/>
      <c r="H20" s="51">
        <v>7.55</v>
      </c>
      <c r="I20" s="46">
        <v>141.63999999999999</v>
      </c>
      <c r="J20" s="46">
        <v>132.47</v>
      </c>
      <c r="K20" s="46">
        <v>2.69</v>
      </c>
      <c r="L20" s="74"/>
      <c r="M20" s="46">
        <f t="shared" si="4"/>
        <v>2.69</v>
      </c>
      <c r="N20" s="46">
        <v>2.89</v>
      </c>
      <c r="O20" s="46"/>
      <c r="P20" s="46">
        <f t="shared" si="5"/>
        <v>2.89</v>
      </c>
      <c r="Q20" s="66">
        <f t="shared" si="1"/>
        <v>-6.8184494222302437E-3</v>
      </c>
      <c r="R20" s="46">
        <v>93.1</v>
      </c>
      <c r="S20" s="46"/>
      <c r="T20" s="46">
        <f t="shared" si="6"/>
        <v>93.1</v>
      </c>
      <c r="U20" s="46">
        <v>15.56</v>
      </c>
      <c r="V20" s="46"/>
      <c r="W20" s="46">
        <f t="shared" si="7"/>
        <v>15.56</v>
      </c>
      <c r="X20" s="46"/>
      <c r="Y20" s="46"/>
      <c r="Z20" s="46"/>
      <c r="AA20" s="1"/>
      <c r="AB20" s="46"/>
      <c r="AC20" s="66"/>
      <c r="AD20" s="51">
        <v>1.83</v>
      </c>
      <c r="AE20" s="51">
        <v>1.78</v>
      </c>
      <c r="AF20" s="46">
        <f t="shared" si="8"/>
        <v>1.8050000000000002</v>
      </c>
      <c r="AG20" s="51">
        <v>1.93</v>
      </c>
      <c r="AH20" s="51">
        <v>1.93</v>
      </c>
      <c r="AI20" s="46">
        <f t="shared" si="9"/>
        <v>1.93</v>
      </c>
      <c r="AJ20" s="51">
        <v>94.6</v>
      </c>
      <c r="AK20" s="51">
        <v>92.4</v>
      </c>
      <c r="AL20" s="46">
        <f t="shared" si="10"/>
        <v>93.5</v>
      </c>
      <c r="AM20" s="51">
        <v>14.33</v>
      </c>
      <c r="AN20" s="51">
        <v>14.51</v>
      </c>
      <c r="AO20" s="46">
        <f t="shared" si="11"/>
        <v>14.42</v>
      </c>
      <c r="AP20" s="46"/>
      <c r="AQ20" s="46"/>
      <c r="AR20" s="1"/>
      <c r="AS20" s="1"/>
      <c r="AT20" s="46"/>
      <c r="AU20" s="51"/>
      <c r="AV20" s="51" t="str">
        <f t="shared" si="12"/>
        <v>PN7</v>
      </c>
      <c r="AW20" s="46">
        <f t="shared" si="13"/>
        <v>0.49652777778101154</v>
      </c>
      <c r="AX20" s="89">
        <v>2.8482106250265735</v>
      </c>
      <c r="AY20" s="5"/>
      <c r="AZ20" s="58">
        <v>280000000</v>
      </c>
      <c r="BA20" s="58">
        <v>560000000</v>
      </c>
      <c r="BB20" s="58">
        <v>39537182771.497398</v>
      </c>
      <c r="BC20" s="58"/>
      <c r="BD20" s="58"/>
      <c r="BE20" s="1"/>
      <c r="BF20" s="5"/>
      <c r="BG20" s="5"/>
      <c r="BH20" s="5"/>
      <c r="BI20" s="5"/>
      <c r="BJ20" s="5"/>
      <c r="BK20" s="58"/>
      <c r="BL20" s="60"/>
      <c r="BM20" s="58"/>
      <c r="BN20" s="46"/>
      <c r="BO20" s="58"/>
      <c r="BP20" s="60"/>
    </row>
    <row r="21" spans="1:68" ht="14.25" customHeight="1" x14ac:dyDescent="0.15">
      <c r="A21" s="51" t="s">
        <v>67</v>
      </c>
      <c r="B21" s="65">
        <v>43658.365277777775</v>
      </c>
      <c r="C21" s="51">
        <f t="shared" si="14"/>
        <v>109.8666666666395</v>
      </c>
      <c r="D21" s="51">
        <f t="shared" si="2"/>
        <v>4.577777777776646</v>
      </c>
      <c r="E21" s="46">
        <f t="shared" si="15"/>
        <v>23.733333333337214</v>
      </c>
      <c r="F21" s="51">
        <f t="shared" si="0"/>
        <v>0.98888888888905058</v>
      </c>
      <c r="G21" s="51">
        <v>7.48</v>
      </c>
      <c r="H21" s="51">
        <v>7.55</v>
      </c>
      <c r="I21" s="46">
        <v>145.63999999999999</v>
      </c>
      <c r="J21" s="46">
        <v>132.19999999999999</v>
      </c>
      <c r="K21" s="46">
        <v>2.66</v>
      </c>
      <c r="L21" s="46">
        <v>2.68</v>
      </c>
      <c r="M21" s="46">
        <f t="shared" si="4"/>
        <v>2.67</v>
      </c>
      <c r="N21" s="46">
        <v>2.84</v>
      </c>
      <c r="O21" s="46">
        <v>2.83</v>
      </c>
      <c r="P21" s="46">
        <f t="shared" si="5"/>
        <v>2.835</v>
      </c>
      <c r="Q21" s="66">
        <f t="shared" si="1"/>
        <v>-6.3154199167583282E-4</v>
      </c>
      <c r="R21" s="46">
        <v>93.5</v>
      </c>
      <c r="S21" s="46">
        <v>94.6</v>
      </c>
      <c r="T21" s="46">
        <f t="shared" si="6"/>
        <v>94.05</v>
      </c>
      <c r="U21" s="46">
        <v>15.69</v>
      </c>
      <c r="V21" s="46">
        <v>15.85</v>
      </c>
      <c r="W21" s="46">
        <f t="shared" si="7"/>
        <v>15.77</v>
      </c>
      <c r="X21" s="46"/>
      <c r="Y21" s="46"/>
      <c r="Z21" s="1"/>
      <c r="AA21" s="1"/>
      <c r="AB21" s="46"/>
      <c r="AC21" s="66"/>
      <c r="AD21" s="51">
        <v>0.59</v>
      </c>
      <c r="AE21" s="51">
        <v>0.56999999999999995</v>
      </c>
      <c r="AF21" s="46">
        <f t="shared" si="8"/>
        <v>0.57999999999999996</v>
      </c>
      <c r="AG21" s="51">
        <v>0.66</v>
      </c>
      <c r="AH21" s="51">
        <v>0.65</v>
      </c>
      <c r="AI21" s="46">
        <f t="shared" si="9"/>
        <v>0.65500000000000003</v>
      </c>
      <c r="AJ21" s="51">
        <v>88.1</v>
      </c>
      <c r="AK21" s="51">
        <v>87.3</v>
      </c>
      <c r="AL21" s="46">
        <f t="shared" si="10"/>
        <v>87.699999999999989</v>
      </c>
      <c r="AM21" s="51">
        <v>13.56</v>
      </c>
      <c r="AN21" s="51">
        <v>13.7</v>
      </c>
      <c r="AO21" s="46">
        <f t="shared" si="11"/>
        <v>13.629999999999999</v>
      </c>
      <c r="AP21" s="46"/>
      <c r="AQ21" s="46"/>
      <c r="AR21" s="1"/>
      <c r="AS21" s="1"/>
      <c r="AT21" s="46"/>
      <c r="AU21" s="51"/>
      <c r="AV21" s="51" t="str">
        <f t="shared" si="12"/>
        <v>PN8</v>
      </c>
      <c r="AW21" s="46">
        <f t="shared" si="13"/>
        <v>0.98888888888905058</v>
      </c>
      <c r="AX21" s="89">
        <v>3.0285543198458384</v>
      </c>
      <c r="AY21" s="5"/>
      <c r="AZ21" s="58">
        <v>28000000</v>
      </c>
      <c r="BA21" s="58">
        <v>56000000</v>
      </c>
      <c r="BB21" s="58">
        <v>77402830295.52858</v>
      </c>
      <c r="BC21" s="58"/>
      <c r="BD21" s="58"/>
      <c r="BE21" s="5"/>
      <c r="BF21" s="5"/>
      <c r="BG21" s="5"/>
      <c r="BH21" s="5"/>
      <c r="BI21" s="5"/>
      <c r="BJ21" s="5"/>
      <c r="BK21" s="58"/>
      <c r="BL21" s="60"/>
      <c r="BM21" s="51"/>
      <c r="BN21" s="46"/>
      <c r="BO21" s="58"/>
      <c r="BP21" s="60"/>
    </row>
    <row r="22" spans="1:68" ht="14.25" customHeight="1" x14ac:dyDescent="0.15">
      <c r="A22" s="51" t="s">
        <v>68</v>
      </c>
      <c r="B22" s="65">
        <v>43658.772916666669</v>
      </c>
      <c r="C22" s="51">
        <f t="shared" si="14"/>
        <v>119.65000000008149</v>
      </c>
      <c r="D22" s="51">
        <f t="shared" si="2"/>
        <v>4.9854166666700621</v>
      </c>
      <c r="E22" s="46">
        <f t="shared" si="15"/>
        <v>33.516666666779201</v>
      </c>
      <c r="F22" s="51">
        <f t="shared" si="0"/>
        <v>1.3965277777824667</v>
      </c>
      <c r="G22" s="51"/>
      <c r="H22" s="51"/>
      <c r="I22" s="46">
        <v>146.03</v>
      </c>
      <c r="J22" s="46">
        <v>127.6</v>
      </c>
      <c r="K22" s="51">
        <v>2.4900000000000002</v>
      </c>
      <c r="L22" s="51">
        <v>2.29</v>
      </c>
      <c r="M22" s="46">
        <f t="shared" si="4"/>
        <v>2.39</v>
      </c>
      <c r="N22" s="51">
        <v>2.64</v>
      </c>
      <c r="O22" s="51">
        <v>2.44</v>
      </c>
      <c r="P22" s="46">
        <f t="shared" si="5"/>
        <v>2.54</v>
      </c>
      <c r="Q22" s="66">
        <f t="shared" si="1"/>
        <v>-1.132386096771807E-2</v>
      </c>
      <c r="R22" s="46">
        <v>94.1</v>
      </c>
      <c r="S22" s="46">
        <v>94.1</v>
      </c>
      <c r="T22" s="46">
        <f t="shared" si="6"/>
        <v>94.1</v>
      </c>
      <c r="U22" s="46">
        <v>15.69</v>
      </c>
      <c r="V22" s="46">
        <v>16.04</v>
      </c>
      <c r="W22" s="46">
        <f t="shared" si="7"/>
        <v>15.864999999999998</v>
      </c>
      <c r="X22" s="46"/>
      <c r="Y22" s="46"/>
      <c r="Z22" s="1"/>
      <c r="AA22" s="1"/>
      <c r="AB22" s="46"/>
      <c r="AC22" s="66"/>
      <c r="AD22" s="51">
        <v>0.84</v>
      </c>
      <c r="AE22" s="51">
        <v>0.89</v>
      </c>
      <c r="AF22" s="46">
        <f t="shared" si="8"/>
        <v>0.86499999999999999</v>
      </c>
      <c r="AG22" s="51">
        <v>0.9</v>
      </c>
      <c r="AH22" s="51">
        <v>0.94</v>
      </c>
      <c r="AI22" s="46">
        <f t="shared" si="9"/>
        <v>0.91999999999999993</v>
      </c>
      <c r="AJ22" s="51">
        <v>93.7</v>
      </c>
      <c r="AK22" s="51">
        <v>94</v>
      </c>
      <c r="AL22" s="46">
        <f t="shared" si="10"/>
        <v>93.85</v>
      </c>
      <c r="AM22" s="51">
        <v>14.78</v>
      </c>
      <c r="AN22" s="51">
        <v>14.49</v>
      </c>
      <c r="AO22" s="46">
        <f t="shared" si="11"/>
        <v>14.635</v>
      </c>
      <c r="AP22" s="46"/>
      <c r="AQ22" s="46"/>
      <c r="AR22" s="1"/>
      <c r="AS22" s="1"/>
      <c r="AT22" s="46"/>
      <c r="AU22" s="51"/>
      <c r="AV22" s="51" t="str">
        <f t="shared" si="12"/>
        <v>PN9</v>
      </c>
      <c r="AW22" s="46">
        <f t="shared" si="13"/>
        <v>1.3965277777824667</v>
      </c>
      <c r="AX22" s="89">
        <v>2.9437714894197282</v>
      </c>
      <c r="AY22" s="5"/>
      <c r="AZ22" s="58">
        <v>4000000</v>
      </c>
      <c r="BA22" s="58">
        <v>18000000</v>
      </c>
      <c r="BB22" s="58">
        <v>52648236636.566238</v>
      </c>
      <c r="BC22" s="58"/>
      <c r="BD22" s="58"/>
      <c r="BE22" s="5"/>
      <c r="BF22" s="5"/>
      <c r="BG22" s="5"/>
      <c r="BH22" s="5"/>
      <c r="BI22" s="5"/>
      <c r="BJ22" s="5"/>
      <c r="BK22" s="58"/>
      <c r="BL22" s="60"/>
      <c r="BM22" s="58"/>
      <c r="BN22" s="46"/>
      <c r="BO22" s="58"/>
      <c r="BP22" s="60"/>
    </row>
    <row r="23" spans="1:68" ht="14.25" customHeight="1" x14ac:dyDescent="0.15">
      <c r="A23" s="51" t="s">
        <v>69</v>
      </c>
      <c r="B23" s="65">
        <v>43659.396527777775</v>
      </c>
      <c r="C23" s="51">
        <f t="shared" si="14"/>
        <v>134.6166666666395</v>
      </c>
      <c r="D23" s="51">
        <f t="shared" si="2"/>
        <v>5.609027777776646</v>
      </c>
      <c r="E23" s="46">
        <f t="shared" si="15"/>
        <v>48.483333333337214</v>
      </c>
      <c r="F23" s="51">
        <f t="shared" si="0"/>
        <v>2.0201388888890506</v>
      </c>
      <c r="G23" s="51"/>
      <c r="H23" s="51">
        <v>7.53</v>
      </c>
      <c r="I23" s="46">
        <v>144.55000000000001</v>
      </c>
      <c r="J23" s="46">
        <v>131.68</v>
      </c>
      <c r="K23" s="46">
        <v>3.03</v>
      </c>
      <c r="L23" s="46">
        <v>2.83</v>
      </c>
      <c r="M23" s="46">
        <f t="shared" si="4"/>
        <v>2.9299999999999997</v>
      </c>
      <c r="N23" s="46">
        <v>3.2</v>
      </c>
      <c r="O23" s="46">
        <v>2.97</v>
      </c>
      <c r="P23" s="46">
        <f t="shared" si="5"/>
        <v>3.085</v>
      </c>
      <c r="Q23" s="66">
        <f t="shared" si="1"/>
        <v>1.3610850139445574E-2</v>
      </c>
      <c r="R23" s="46">
        <v>94.7</v>
      </c>
      <c r="S23" s="46">
        <v>95.3</v>
      </c>
      <c r="T23" s="46">
        <f t="shared" si="6"/>
        <v>95</v>
      </c>
      <c r="U23" s="46">
        <v>15.78</v>
      </c>
      <c r="V23" s="46">
        <v>15.92</v>
      </c>
      <c r="W23" s="46">
        <f t="shared" si="7"/>
        <v>15.85</v>
      </c>
      <c r="X23" s="46"/>
      <c r="Y23" s="46"/>
      <c r="Z23" s="1"/>
      <c r="AA23" s="1"/>
      <c r="AB23" s="46"/>
      <c r="AC23" s="66"/>
      <c r="AD23" s="51">
        <v>0.26</v>
      </c>
      <c r="AE23" s="51">
        <v>0.27</v>
      </c>
      <c r="AF23" s="46">
        <f t="shared" si="8"/>
        <v>0.26500000000000001</v>
      </c>
      <c r="AG23" s="51">
        <v>0.3</v>
      </c>
      <c r="AH23" s="51">
        <v>0.31</v>
      </c>
      <c r="AI23" s="46">
        <f t="shared" si="9"/>
        <v>0.30499999999999999</v>
      </c>
      <c r="AJ23" s="51">
        <v>87.4</v>
      </c>
      <c r="AK23" s="51">
        <v>86.2</v>
      </c>
      <c r="AL23" s="46">
        <f t="shared" si="10"/>
        <v>86.800000000000011</v>
      </c>
      <c r="AM23" s="51">
        <v>12.81</v>
      </c>
      <c r="AN23" s="51">
        <v>12.42</v>
      </c>
      <c r="AO23" s="46">
        <f t="shared" si="11"/>
        <v>12.615</v>
      </c>
      <c r="AP23" s="46"/>
      <c r="AQ23" s="46"/>
      <c r="AR23" s="1"/>
      <c r="AS23" s="1"/>
      <c r="AT23" s="46"/>
      <c r="AU23" s="51"/>
      <c r="AV23" s="51" t="str">
        <f t="shared" si="12"/>
        <v>PN10</v>
      </c>
      <c r="AW23" s="46">
        <f t="shared" si="13"/>
        <v>2.0201388888890506</v>
      </c>
      <c r="AX23" s="89">
        <v>3.287382644233432</v>
      </c>
      <c r="AY23" s="5"/>
      <c r="AZ23" s="58">
        <v>120000</v>
      </c>
      <c r="BA23" s="58">
        <v>560000</v>
      </c>
      <c r="BB23" s="58">
        <v>34081081457.702351</v>
      </c>
      <c r="BC23" s="58"/>
      <c r="BD23" s="58"/>
      <c r="BE23" s="1"/>
      <c r="BF23" s="5"/>
      <c r="BG23" s="5"/>
      <c r="BH23" s="5"/>
      <c r="BI23" s="5"/>
      <c r="BJ23" s="5"/>
      <c r="BK23" s="58"/>
      <c r="BL23" s="60"/>
      <c r="BM23" s="51"/>
      <c r="BN23" s="46"/>
      <c r="BO23" s="58"/>
      <c r="BP23" s="60"/>
    </row>
    <row r="24" spans="1:68" ht="14.25" customHeight="1" x14ac:dyDescent="0.15">
      <c r="A24" s="51" t="s">
        <v>70</v>
      </c>
      <c r="B24" s="65">
        <v>43659.870138888888</v>
      </c>
      <c r="C24" s="51">
        <f t="shared" si="14"/>
        <v>145.98333333333721</v>
      </c>
      <c r="D24" s="51">
        <f t="shared" si="2"/>
        <v>6.0826388888890506</v>
      </c>
      <c r="E24" s="46">
        <f t="shared" si="15"/>
        <v>59.850000000034925</v>
      </c>
      <c r="F24" s="51">
        <f t="shared" si="0"/>
        <v>2.4937500000014552</v>
      </c>
      <c r="G24" s="51"/>
      <c r="H24" s="51"/>
      <c r="I24" s="46">
        <v>144.41999999999999</v>
      </c>
      <c r="J24" s="46">
        <v>132.32</v>
      </c>
      <c r="K24" s="46">
        <v>2.44</v>
      </c>
      <c r="L24" s="46">
        <v>2.42</v>
      </c>
      <c r="M24" s="46">
        <f t="shared" si="4"/>
        <v>2.4299999999999997</v>
      </c>
      <c r="N24" s="46">
        <v>2.59</v>
      </c>
      <c r="O24" s="46">
        <v>2.54</v>
      </c>
      <c r="P24" s="46">
        <f t="shared" si="5"/>
        <v>2.5649999999999999</v>
      </c>
      <c r="Q24" s="66">
        <f t="shared" si="1"/>
        <v>-1.6461392874722099E-2</v>
      </c>
      <c r="R24" s="46">
        <v>94.2</v>
      </c>
      <c r="S24" s="46">
        <v>95.1</v>
      </c>
      <c r="T24" s="46">
        <f t="shared" si="6"/>
        <v>94.65</v>
      </c>
      <c r="U24" s="46">
        <v>15.78</v>
      </c>
      <c r="V24" s="46">
        <v>15.85</v>
      </c>
      <c r="W24" s="46">
        <f t="shared" si="7"/>
        <v>15.815</v>
      </c>
      <c r="X24" s="46"/>
      <c r="Y24" s="46"/>
      <c r="Z24" s="1"/>
      <c r="AA24" s="1"/>
      <c r="AB24" s="46"/>
      <c r="AC24" s="46"/>
      <c r="AD24" s="51">
        <v>1.38</v>
      </c>
      <c r="AE24" s="51">
        <v>1.38</v>
      </c>
      <c r="AF24" s="46">
        <f t="shared" si="8"/>
        <v>1.38</v>
      </c>
      <c r="AG24" s="51">
        <v>1.42</v>
      </c>
      <c r="AH24" s="51">
        <v>1.43</v>
      </c>
      <c r="AI24" s="46">
        <f t="shared" si="9"/>
        <v>1.4249999999999998</v>
      </c>
      <c r="AJ24" s="51">
        <v>96.9</v>
      </c>
      <c r="AK24" s="51">
        <v>96.4</v>
      </c>
      <c r="AL24" s="46">
        <f t="shared" si="10"/>
        <v>96.65</v>
      </c>
      <c r="AM24" s="51">
        <v>14.2</v>
      </c>
      <c r="AN24" s="51">
        <v>14.3</v>
      </c>
      <c r="AO24" s="46">
        <f t="shared" si="11"/>
        <v>14.25</v>
      </c>
      <c r="AP24" s="46"/>
      <c r="AQ24" s="46"/>
      <c r="AR24" s="1"/>
      <c r="AS24" s="1"/>
      <c r="AT24" s="46"/>
      <c r="AU24" s="51"/>
      <c r="AV24" s="51" t="str">
        <f t="shared" si="12"/>
        <v>PN11</v>
      </c>
      <c r="AW24" s="46">
        <f t="shared" si="13"/>
        <v>2.4937500000014552</v>
      </c>
      <c r="AX24" s="89">
        <v>2.7652953743794657</v>
      </c>
      <c r="AY24" s="5"/>
      <c r="AZ24" s="58">
        <v>12000</v>
      </c>
      <c r="BA24" s="58">
        <v>130000</v>
      </c>
      <c r="BB24" s="58">
        <v>10536992520.400543</v>
      </c>
      <c r="BC24" s="58"/>
      <c r="BD24" s="58"/>
      <c r="BE24" s="5"/>
      <c r="BF24" s="5"/>
      <c r="BG24" s="5"/>
      <c r="BH24" s="5"/>
      <c r="BI24" s="5"/>
      <c r="BJ24" s="5"/>
      <c r="BK24" s="58"/>
      <c r="BL24" s="60"/>
      <c r="BM24" s="58"/>
      <c r="BN24" s="46"/>
      <c r="BO24" s="58"/>
      <c r="BP24" s="60"/>
    </row>
    <row r="25" spans="1:68" ht="14.25" customHeight="1" x14ac:dyDescent="0.15">
      <c r="A25" s="51" t="s">
        <v>71</v>
      </c>
      <c r="B25" s="65">
        <v>43660.32916666667</v>
      </c>
      <c r="C25" s="51">
        <f t="shared" si="14"/>
        <v>157.00000000011642</v>
      </c>
      <c r="D25" s="51">
        <f t="shared" si="2"/>
        <v>6.5416666666715173</v>
      </c>
      <c r="E25" s="46">
        <f t="shared" si="15"/>
        <v>70.866666666814126</v>
      </c>
      <c r="F25" s="51">
        <f t="shared" si="0"/>
        <v>2.9527777777839219</v>
      </c>
      <c r="G25" s="51">
        <v>7.54</v>
      </c>
      <c r="H25" s="51">
        <v>7.51</v>
      </c>
      <c r="I25" s="46">
        <v>147.75</v>
      </c>
      <c r="J25" s="46">
        <v>131.22999999999999</v>
      </c>
      <c r="K25" s="51">
        <v>2.23</v>
      </c>
      <c r="L25" s="51">
        <v>2.2799999999999998</v>
      </c>
      <c r="M25" s="46">
        <f t="shared" si="4"/>
        <v>2.2549999999999999</v>
      </c>
      <c r="N25" s="51">
        <v>2.36</v>
      </c>
      <c r="O25" s="51">
        <v>2.4500000000000002</v>
      </c>
      <c r="P25" s="46">
        <f t="shared" si="5"/>
        <v>2.4050000000000002</v>
      </c>
      <c r="Q25" s="66">
        <f t="shared" si="1"/>
        <v>-6.7843828499593228E-3</v>
      </c>
      <c r="R25" s="46">
        <v>94.2</v>
      </c>
      <c r="S25" s="46">
        <v>93</v>
      </c>
      <c r="T25" s="46">
        <f t="shared" si="6"/>
        <v>93.6</v>
      </c>
      <c r="U25" s="51">
        <v>15.84</v>
      </c>
      <c r="V25" s="51">
        <v>15.93</v>
      </c>
      <c r="W25" s="46">
        <f t="shared" si="7"/>
        <v>15.885</v>
      </c>
      <c r="X25" s="46"/>
      <c r="Y25" s="46"/>
      <c r="Z25" s="1"/>
      <c r="AA25" s="1"/>
      <c r="AB25" s="46"/>
      <c r="AC25" s="66"/>
      <c r="AD25" s="51">
        <v>0.96</v>
      </c>
      <c r="AE25" s="51">
        <v>0.94</v>
      </c>
      <c r="AF25" s="46">
        <f t="shared" si="8"/>
        <v>0.95</v>
      </c>
      <c r="AG25" s="51">
        <v>1.03</v>
      </c>
      <c r="AH25" s="51">
        <v>1</v>
      </c>
      <c r="AI25" s="46">
        <f t="shared" si="9"/>
        <v>1.0150000000000001</v>
      </c>
      <c r="AJ25" s="51">
        <v>93.5</v>
      </c>
      <c r="AK25" s="51">
        <v>94.7</v>
      </c>
      <c r="AL25" s="46">
        <f t="shared" si="10"/>
        <v>94.1</v>
      </c>
      <c r="AM25" s="51">
        <v>15.16</v>
      </c>
      <c r="AN25" s="51">
        <v>15.15</v>
      </c>
      <c r="AO25" s="46">
        <f t="shared" si="11"/>
        <v>15.155000000000001</v>
      </c>
      <c r="AP25" s="46"/>
      <c r="AQ25" s="46"/>
      <c r="AR25" s="1"/>
      <c r="AS25" s="1"/>
      <c r="AT25" s="46"/>
      <c r="AU25" s="51"/>
      <c r="AV25" s="51" t="str">
        <f t="shared" si="12"/>
        <v>PN12</v>
      </c>
      <c r="AW25" s="46">
        <f t="shared" si="13"/>
        <v>2.9527777777839219</v>
      </c>
      <c r="AX25" s="89">
        <v>2.5828286084218162</v>
      </c>
      <c r="AY25" s="5"/>
      <c r="AZ25" s="58">
        <v>600</v>
      </c>
      <c r="BA25" s="58">
        <v>24000</v>
      </c>
      <c r="BB25" s="58">
        <v>3155732527.3763132</v>
      </c>
      <c r="BC25" s="58"/>
      <c r="BD25" s="58"/>
      <c r="BE25" s="5"/>
      <c r="BF25" s="5"/>
      <c r="BG25" s="5"/>
      <c r="BH25" s="5"/>
      <c r="BI25" s="5"/>
      <c r="BJ25" s="5"/>
      <c r="BK25" s="58"/>
      <c r="BL25" s="60"/>
      <c r="BM25" s="51"/>
      <c r="BN25" s="46"/>
      <c r="BO25" s="58"/>
      <c r="BP25" s="60"/>
    </row>
    <row r="26" spans="1:68" ht="14.25" customHeight="1" x14ac:dyDescent="0.15">
      <c r="A26" s="51" t="s">
        <v>72</v>
      </c>
      <c r="B26" s="65">
        <v>43660.836111111108</v>
      </c>
      <c r="C26" s="51">
        <f t="shared" si="14"/>
        <v>169.16666666662786</v>
      </c>
      <c r="D26" s="51">
        <f t="shared" si="2"/>
        <v>7.0486111111094942</v>
      </c>
      <c r="E26" s="46">
        <f t="shared" si="15"/>
        <v>83.033333333325572</v>
      </c>
      <c r="F26" s="51">
        <f t="shared" si="0"/>
        <v>3.4597222222218988</v>
      </c>
      <c r="G26" s="51"/>
      <c r="H26" s="51"/>
      <c r="I26" s="46">
        <v>148.76</v>
      </c>
      <c r="J26" s="46">
        <v>131.51</v>
      </c>
      <c r="K26" s="51">
        <v>2.41</v>
      </c>
      <c r="L26" s="51">
        <v>2.41</v>
      </c>
      <c r="M26" s="46">
        <f t="shared" si="4"/>
        <v>2.41</v>
      </c>
      <c r="N26" s="51">
        <v>2.66</v>
      </c>
      <c r="O26" s="51">
        <v>2.6</v>
      </c>
      <c r="P26" s="46">
        <f t="shared" si="5"/>
        <v>2.63</v>
      </c>
      <c r="Q26" s="66">
        <f t="shared" si="1"/>
        <v>5.4638444834605561E-3</v>
      </c>
      <c r="R26" s="46">
        <v>90.7</v>
      </c>
      <c r="S26" s="46">
        <v>92.6</v>
      </c>
      <c r="T26" s="46">
        <f t="shared" si="6"/>
        <v>91.65</v>
      </c>
      <c r="U26" s="51">
        <v>15.81</v>
      </c>
      <c r="V26" s="51">
        <v>15.76</v>
      </c>
      <c r="W26" s="46">
        <f t="shared" si="7"/>
        <v>15.785</v>
      </c>
      <c r="X26" s="46"/>
      <c r="Y26" s="46"/>
      <c r="Z26" s="1"/>
      <c r="AA26" s="1"/>
      <c r="AB26" s="46"/>
      <c r="AC26" s="46"/>
      <c r="AD26" s="51">
        <v>0.97</v>
      </c>
      <c r="AE26" s="51">
        <v>1</v>
      </c>
      <c r="AF26" s="46">
        <f t="shared" si="8"/>
        <v>0.98499999999999999</v>
      </c>
      <c r="AG26" s="51">
        <v>1.02</v>
      </c>
      <c r="AH26" s="51">
        <v>1.06</v>
      </c>
      <c r="AI26" s="46">
        <f t="shared" si="9"/>
        <v>1.04</v>
      </c>
      <c r="AJ26" s="51">
        <v>94.7</v>
      </c>
      <c r="AK26" s="51">
        <v>94.3</v>
      </c>
      <c r="AL26" s="46">
        <f t="shared" si="10"/>
        <v>94.5</v>
      </c>
      <c r="AM26" s="51">
        <v>15.65</v>
      </c>
      <c r="AN26" s="51">
        <v>15.6</v>
      </c>
      <c r="AO26" s="46">
        <f t="shared" si="11"/>
        <v>15.625</v>
      </c>
      <c r="AP26" s="46"/>
      <c r="AQ26" s="46"/>
      <c r="AR26" s="1"/>
      <c r="AS26" s="1"/>
      <c r="AT26" s="46"/>
      <c r="AU26" s="51"/>
      <c r="AV26" s="51" t="str">
        <f t="shared" si="12"/>
        <v>PN13</v>
      </c>
      <c r="AW26" s="46">
        <f t="shared" si="13"/>
        <v>3.4597222222218988</v>
      </c>
      <c r="AX26" s="89">
        <v>2.2493140437258354</v>
      </c>
      <c r="AY26" s="5"/>
      <c r="AZ26" s="58">
        <v>120</v>
      </c>
      <c r="BA26" s="58">
        <v>3200</v>
      </c>
      <c r="BB26" s="58">
        <v>2271410820.0936904</v>
      </c>
      <c r="BC26" s="58"/>
      <c r="BD26" s="58"/>
      <c r="BE26" s="1"/>
      <c r="BF26" s="5"/>
      <c r="BG26" s="5"/>
      <c r="BH26" s="5"/>
      <c r="BI26" s="5"/>
      <c r="BJ26" s="46"/>
      <c r="BK26" s="58"/>
      <c r="BL26" s="60"/>
      <c r="BM26" s="58"/>
      <c r="BN26" s="46"/>
      <c r="BO26" s="58"/>
      <c r="BP26" s="60"/>
    </row>
    <row r="27" spans="1:68" ht="14.25" customHeight="1" x14ac:dyDescent="0.15">
      <c r="A27" s="51" t="s">
        <v>73</v>
      </c>
      <c r="B27" s="65">
        <v>43661.379861111112</v>
      </c>
      <c r="C27" s="51">
        <f t="shared" si="14"/>
        <v>182.21666666673264</v>
      </c>
      <c r="D27" s="51">
        <f t="shared" si="2"/>
        <v>7.5923611111138598</v>
      </c>
      <c r="E27" s="46">
        <f t="shared" si="15"/>
        <v>96.083333333430346</v>
      </c>
      <c r="F27" s="51">
        <f t="shared" si="0"/>
        <v>4.0034722222262644</v>
      </c>
      <c r="G27" s="51">
        <v>7.49</v>
      </c>
      <c r="H27" s="51">
        <v>7.48</v>
      </c>
      <c r="I27" s="46">
        <v>148.69</v>
      </c>
      <c r="J27" s="46">
        <v>132.91</v>
      </c>
      <c r="K27" s="51">
        <v>2.83</v>
      </c>
      <c r="L27" s="51">
        <v>2.57</v>
      </c>
      <c r="M27" s="46">
        <f t="shared" si="4"/>
        <v>2.7</v>
      </c>
      <c r="N27" s="51">
        <v>2.97</v>
      </c>
      <c r="O27" s="51">
        <v>2.71</v>
      </c>
      <c r="P27" s="46">
        <f t="shared" si="5"/>
        <v>2.84</v>
      </c>
      <c r="Q27" s="66">
        <f t="shared" si="1"/>
        <v>8.706898506268778E-3</v>
      </c>
      <c r="R27" s="46">
        <v>95.3</v>
      </c>
      <c r="S27" s="46">
        <v>95.1</v>
      </c>
      <c r="T27" s="46">
        <f t="shared" si="6"/>
        <v>95.199999999999989</v>
      </c>
      <c r="U27" s="51">
        <v>15.77</v>
      </c>
      <c r="V27" s="51">
        <v>15.86</v>
      </c>
      <c r="W27" s="46">
        <f t="shared" si="7"/>
        <v>15.815</v>
      </c>
      <c r="X27" s="46"/>
      <c r="Y27" s="46"/>
      <c r="Z27" s="1"/>
      <c r="AA27" s="1"/>
      <c r="AB27" s="46"/>
      <c r="AC27" s="46"/>
      <c r="AD27" s="51">
        <v>1.55</v>
      </c>
      <c r="AE27" s="51">
        <v>1.55</v>
      </c>
      <c r="AF27" s="46">
        <f t="shared" si="8"/>
        <v>1.55</v>
      </c>
      <c r="AG27" s="51">
        <v>1.63</v>
      </c>
      <c r="AH27" s="51">
        <v>1.62</v>
      </c>
      <c r="AI27" s="46">
        <f t="shared" si="9"/>
        <v>1.625</v>
      </c>
      <c r="AJ27" s="51">
        <v>95.3</v>
      </c>
      <c r="AK27" s="51">
        <v>96.2</v>
      </c>
      <c r="AL27" s="46">
        <f t="shared" si="10"/>
        <v>95.75</v>
      </c>
      <c r="AM27" s="51">
        <v>16.21</v>
      </c>
      <c r="AN27" s="51">
        <v>16.16</v>
      </c>
      <c r="AO27" s="46">
        <f t="shared" si="11"/>
        <v>16.185000000000002</v>
      </c>
      <c r="AP27" s="46"/>
      <c r="AQ27" s="46"/>
      <c r="AR27" s="1"/>
      <c r="AS27" s="1"/>
      <c r="AT27" s="46"/>
      <c r="AU27" s="51"/>
      <c r="AV27" s="51" t="str">
        <f t="shared" si="12"/>
        <v>PN14</v>
      </c>
      <c r="AW27" s="46">
        <f t="shared" si="13"/>
        <v>4.0034722222262644</v>
      </c>
      <c r="AX27" s="89">
        <v>0</v>
      </c>
      <c r="AY27" s="5"/>
      <c r="AZ27" s="58">
        <v>4</v>
      </c>
      <c r="BA27" s="58">
        <v>42</v>
      </c>
      <c r="BB27" s="58">
        <v>902654978.95907044</v>
      </c>
      <c r="BC27" s="58"/>
      <c r="BD27" s="58"/>
      <c r="BE27" s="5"/>
      <c r="BF27" s="5"/>
      <c r="BG27" s="5"/>
      <c r="BH27" s="5"/>
      <c r="BI27" s="5"/>
      <c r="BJ27" s="46"/>
      <c r="BK27" s="58"/>
      <c r="BL27" s="60"/>
      <c r="BM27" s="51"/>
      <c r="BN27" s="46"/>
      <c r="BO27" s="58"/>
      <c r="BP27" s="60"/>
    </row>
    <row r="28" spans="1:68" ht="14.25" customHeight="1" x14ac:dyDescent="0.15">
      <c r="A28" s="51" t="s">
        <v>74</v>
      </c>
      <c r="B28" s="65">
        <v>43661.84652777778</v>
      </c>
      <c r="C28" s="51">
        <f t="shared" si="14"/>
        <v>193.41666666674428</v>
      </c>
      <c r="D28" s="51">
        <f t="shared" si="2"/>
        <v>8.0590277777810115</v>
      </c>
      <c r="E28" s="46">
        <f t="shared" si="15"/>
        <v>107.28333333344199</v>
      </c>
      <c r="F28" s="51">
        <f t="shared" si="0"/>
        <v>4.4701388888934162</v>
      </c>
      <c r="G28" s="51"/>
      <c r="H28" s="51"/>
      <c r="I28" s="46">
        <v>148.62</v>
      </c>
      <c r="J28" s="46">
        <v>131.88</v>
      </c>
      <c r="K28" s="51">
        <v>2.08</v>
      </c>
      <c r="L28" s="51">
        <v>2.33</v>
      </c>
      <c r="M28" s="46">
        <f t="shared" si="4"/>
        <v>2.2050000000000001</v>
      </c>
      <c r="N28" s="51">
        <v>2.23</v>
      </c>
      <c r="O28" s="51">
        <v>2.4700000000000002</v>
      </c>
      <c r="P28" s="46">
        <f t="shared" si="5"/>
        <v>2.35</v>
      </c>
      <c r="Q28" s="66">
        <f t="shared" si="1"/>
        <v>-1.8082523581362819E-2</v>
      </c>
      <c r="R28" s="46">
        <v>93.1</v>
      </c>
      <c r="S28" s="46">
        <v>94.4</v>
      </c>
      <c r="T28" s="46">
        <f t="shared" si="6"/>
        <v>93.75</v>
      </c>
      <c r="U28" s="51">
        <v>16.2</v>
      </c>
      <c r="V28" s="51">
        <v>15.92</v>
      </c>
      <c r="W28" s="46">
        <f t="shared" si="7"/>
        <v>16.059999999999999</v>
      </c>
      <c r="X28" s="46"/>
      <c r="Y28" s="46"/>
      <c r="Z28" s="1"/>
      <c r="AA28" s="1"/>
      <c r="AB28" s="46"/>
      <c r="AC28" s="46"/>
      <c r="AD28" s="51">
        <v>1.57</v>
      </c>
      <c r="AE28" s="51">
        <v>1.65</v>
      </c>
      <c r="AF28" s="46">
        <f t="shared" si="8"/>
        <v>1.6099999999999999</v>
      </c>
      <c r="AG28" s="51">
        <v>1.69</v>
      </c>
      <c r="AH28" s="51">
        <v>1.77</v>
      </c>
      <c r="AI28" s="46">
        <f t="shared" si="9"/>
        <v>1.73</v>
      </c>
      <c r="AJ28" s="51">
        <v>93.1</v>
      </c>
      <c r="AK28" s="51">
        <v>93.1</v>
      </c>
      <c r="AL28" s="46">
        <f t="shared" si="10"/>
        <v>93.1</v>
      </c>
      <c r="AM28" s="51">
        <v>15.66</v>
      </c>
      <c r="AN28" s="51">
        <v>15.72</v>
      </c>
      <c r="AO28" s="46">
        <f t="shared" si="11"/>
        <v>15.690000000000001</v>
      </c>
      <c r="AP28" s="46"/>
      <c r="AQ28" s="46"/>
      <c r="AR28" s="1"/>
      <c r="AS28" s="1"/>
      <c r="AT28" s="46"/>
      <c r="AU28" s="51"/>
      <c r="AV28" s="51" t="str">
        <f t="shared" si="12"/>
        <v>PN15</v>
      </c>
      <c r="AW28" s="46">
        <f t="shared" si="13"/>
        <v>4.4701388888934162</v>
      </c>
      <c r="AX28" s="89">
        <v>0</v>
      </c>
      <c r="AY28" s="5"/>
      <c r="AZ28" s="58">
        <v>4000</v>
      </c>
      <c r="BA28" s="58">
        <v>7600</v>
      </c>
      <c r="BB28" s="58">
        <v>369004898.58460248</v>
      </c>
      <c r="BC28" s="58"/>
      <c r="BD28" s="58"/>
      <c r="BE28" s="5"/>
      <c r="BF28" s="5"/>
      <c r="BG28" s="5"/>
      <c r="BH28" s="5"/>
      <c r="BI28" s="5"/>
      <c r="BJ28" s="46"/>
      <c r="BK28" s="58"/>
      <c r="BL28" s="60"/>
      <c r="BM28" s="58"/>
      <c r="BN28" s="46"/>
      <c r="BO28" s="58"/>
      <c r="BP28" s="60"/>
    </row>
    <row r="29" spans="1:68" ht="14.25" customHeight="1" x14ac:dyDescent="0.15">
      <c r="A29" s="51" t="s">
        <v>75</v>
      </c>
      <c r="B29" s="65">
        <v>43662.381249999999</v>
      </c>
      <c r="C29" s="51">
        <f t="shared" si="14"/>
        <v>206.25</v>
      </c>
      <c r="D29" s="51">
        <f t="shared" si="2"/>
        <v>8.59375</v>
      </c>
      <c r="E29" s="46">
        <f t="shared" si="15"/>
        <v>120.11666666669771</v>
      </c>
      <c r="F29" s="51">
        <f t="shared" si="0"/>
        <v>5.0048611111124046</v>
      </c>
      <c r="G29" s="51">
        <v>7.49</v>
      </c>
      <c r="H29" s="51">
        <v>7.44</v>
      </c>
      <c r="I29" s="46">
        <v>150.57</v>
      </c>
      <c r="J29" s="46">
        <v>132.22</v>
      </c>
      <c r="K29" s="51">
        <v>2.44</v>
      </c>
      <c r="L29" s="51">
        <v>2.5299999999999998</v>
      </c>
      <c r="M29" s="46">
        <f t="shared" si="4"/>
        <v>2.4849999999999999</v>
      </c>
      <c r="N29" s="51">
        <v>2.6</v>
      </c>
      <c r="O29" s="51">
        <v>2.68</v>
      </c>
      <c r="P29" s="46">
        <f t="shared" si="5"/>
        <v>2.64</v>
      </c>
      <c r="Q29" s="66">
        <f t="shared" si="1"/>
        <v>9.3152065441952422E-3</v>
      </c>
      <c r="R29" s="46">
        <v>93.9</v>
      </c>
      <c r="S29" s="46">
        <v>94.3</v>
      </c>
      <c r="T29" s="46">
        <f t="shared" si="6"/>
        <v>94.1</v>
      </c>
      <c r="U29" s="51">
        <v>15.98</v>
      </c>
      <c r="V29" s="51">
        <v>15.81</v>
      </c>
      <c r="W29" s="46">
        <f t="shared" si="7"/>
        <v>15.895</v>
      </c>
      <c r="X29" s="46"/>
      <c r="Y29" s="46"/>
      <c r="Z29" s="1"/>
      <c r="AA29" s="1"/>
      <c r="AB29" s="46"/>
      <c r="AC29" s="46"/>
      <c r="AD29" s="51">
        <v>2.08</v>
      </c>
      <c r="AE29" s="51">
        <v>2.11</v>
      </c>
      <c r="AF29" s="46">
        <f t="shared" si="8"/>
        <v>2.0949999999999998</v>
      </c>
      <c r="AG29" s="51">
        <v>2.27</v>
      </c>
      <c r="AH29" s="51">
        <v>2.33</v>
      </c>
      <c r="AI29" s="46">
        <f t="shared" si="9"/>
        <v>2.2999999999999998</v>
      </c>
      <c r="AJ29" s="51">
        <v>91.6</v>
      </c>
      <c r="AK29" s="51">
        <v>90.5</v>
      </c>
      <c r="AL29" s="46">
        <f t="shared" si="10"/>
        <v>91.05</v>
      </c>
      <c r="AM29" s="51">
        <v>15.68</v>
      </c>
      <c r="AN29" s="51">
        <v>15.1</v>
      </c>
      <c r="AO29" s="46">
        <f t="shared" si="11"/>
        <v>15.39</v>
      </c>
      <c r="AP29" s="46"/>
      <c r="AQ29" s="46"/>
      <c r="AR29" s="1"/>
      <c r="AS29" s="1"/>
      <c r="AT29" s="46"/>
      <c r="AU29" s="51"/>
      <c r="AV29" s="51" t="str">
        <f t="shared" si="12"/>
        <v>PN16</v>
      </c>
      <c r="AW29" s="46">
        <f t="shared" si="13"/>
        <v>5.0048611111124046</v>
      </c>
      <c r="AX29" s="89">
        <v>3.0319260039629761</v>
      </c>
      <c r="AY29" s="5"/>
      <c r="AZ29" s="58">
        <v>80000000</v>
      </c>
      <c r="BA29" s="58">
        <v>32000000</v>
      </c>
      <c r="BB29" s="58">
        <v>27860443853.414368</v>
      </c>
      <c r="BC29" s="58"/>
      <c r="BD29" s="58"/>
      <c r="BE29" s="1"/>
      <c r="BF29" s="5"/>
      <c r="BG29" s="5"/>
      <c r="BH29" s="5"/>
      <c r="BI29" s="5"/>
      <c r="BJ29" s="46"/>
      <c r="BK29" s="58"/>
      <c r="BL29" s="60"/>
      <c r="BM29" s="51"/>
      <c r="BN29" s="46"/>
      <c r="BO29" s="58"/>
      <c r="BP29" s="60"/>
    </row>
    <row r="30" spans="1:68" ht="14.25" customHeight="1" x14ac:dyDescent="0.15">
      <c r="A30" s="51" t="s">
        <v>76</v>
      </c>
      <c r="B30" s="65">
        <v>43662.852083333331</v>
      </c>
      <c r="C30" s="51">
        <f t="shared" si="14"/>
        <v>217.54999999998836</v>
      </c>
      <c r="D30" s="51">
        <f t="shared" si="2"/>
        <v>9.0645833333328483</v>
      </c>
      <c r="E30" s="46">
        <f t="shared" si="15"/>
        <v>131.41666666668607</v>
      </c>
      <c r="F30" s="51">
        <f t="shared" si="0"/>
        <v>5.4756944444452529</v>
      </c>
      <c r="G30" s="51"/>
      <c r="H30" s="51"/>
      <c r="I30" s="46">
        <v>147.05000000000001</v>
      </c>
      <c r="J30" s="46">
        <v>131.53</v>
      </c>
      <c r="K30" s="51">
        <v>2.57</v>
      </c>
      <c r="L30" s="51">
        <v>2.5499999999999998</v>
      </c>
      <c r="M30" s="46">
        <f t="shared" si="4"/>
        <v>2.5599999999999996</v>
      </c>
      <c r="N30" s="51">
        <v>2.73</v>
      </c>
      <c r="O30" s="51">
        <v>2.7</v>
      </c>
      <c r="P30" s="46">
        <f t="shared" si="5"/>
        <v>2.7149999999999999</v>
      </c>
      <c r="Q30" s="66">
        <f t="shared" si="1"/>
        <v>2.6313804374256213E-3</v>
      </c>
      <c r="R30" s="46">
        <v>94.2</v>
      </c>
      <c r="S30" s="46">
        <v>94.4</v>
      </c>
      <c r="T30" s="46">
        <f t="shared" si="6"/>
        <v>94.300000000000011</v>
      </c>
      <c r="U30" s="51">
        <v>15.81</v>
      </c>
      <c r="V30" s="51">
        <v>15.83</v>
      </c>
      <c r="W30" s="46">
        <f t="shared" si="7"/>
        <v>15.82</v>
      </c>
      <c r="X30" s="46"/>
      <c r="Y30" s="46"/>
      <c r="Z30" s="1"/>
      <c r="AA30" s="1"/>
      <c r="AB30" s="46"/>
      <c r="AC30" s="46"/>
      <c r="AD30" s="51">
        <v>0.76</v>
      </c>
      <c r="AE30" s="51">
        <v>0.77</v>
      </c>
      <c r="AF30" s="46">
        <f t="shared" si="8"/>
        <v>0.76500000000000001</v>
      </c>
      <c r="AG30" s="51">
        <v>0.82</v>
      </c>
      <c r="AH30" s="51">
        <v>0.83</v>
      </c>
      <c r="AI30" s="46">
        <f t="shared" si="9"/>
        <v>0.82499999999999996</v>
      </c>
      <c r="AJ30" s="51">
        <v>92.4</v>
      </c>
      <c r="AK30" s="51">
        <v>92.5</v>
      </c>
      <c r="AL30" s="46">
        <f t="shared" si="10"/>
        <v>92.45</v>
      </c>
      <c r="AM30" s="51">
        <v>13.53</v>
      </c>
      <c r="AN30" s="51">
        <v>13.31</v>
      </c>
      <c r="AO30" s="46">
        <f t="shared" si="11"/>
        <v>13.42</v>
      </c>
      <c r="AP30" s="46"/>
      <c r="AQ30" s="46"/>
      <c r="AR30" s="1"/>
      <c r="AS30" s="1"/>
      <c r="AT30" s="46"/>
      <c r="AU30" s="51"/>
      <c r="AV30" s="51" t="str">
        <f t="shared" si="12"/>
        <v>PN17</v>
      </c>
      <c r="AW30" s="46">
        <f t="shared" si="13"/>
        <v>5.4756944444452529</v>
      </c>
      <c r="AX30" s="89">
        <v>3.077646496707247</v>
      </c>
      <c r="AY30" s="5"/>
      <c r="AZ30" s="58">
        <v>1200000</v>
      </c>
      <c r="BA30" s="58">
        <v>5600000</v>
      </c>
      <c r="BB30" s="58">
        <v>36064663365.166519</v>
      </c>
      <c r="BC30" s="58"/>
      <c r="BD30" s="58"/>
      <c r="BE30" s="5"/>
      <c r="BF30" s="5"/>
      <c r="BG30" s="5"/>
      <c r="BH30" s="5"/>
      <c r="BI30" s="5"/>
      <c r="BJ30" s="46"/>
      <c r="BK30" s="58"/>
      <c r="BL30" s="60"/>
      <c r="BM30" s="58"/>
      <c r="BN30" s="46"/>
      <c r="BO30" s="58"/>
      <c r="BP30" s="60"/>
    </row>
    <row r="31" spans="1:68" ht="14.25" customHeight="1" x14ac:dyDescent="0.15">
      <c r="A31" s="51" t="s">
        <v>77</v>
      </c>
      <c r="B31" s="65">
        <v>43663.369444444441</v>
      </c>
      <c r="C31" s="51">
        <f t="shared" si="14"/>
        <v>229.96666666661622</v>
      </c>
      <c r="D31" s="51">
        <f t="shared" si="2"/>
        <v>9.5819444444423425</v>
      </c>
      <c r="E31" s="46">
        <f t="shared" si="15"/>
        <v>143.83333333331393</v>
      </c>
      <c r="F31" s="51">
        <f t="shared" si="0"/>
        <v>5.9930555555547471</v>
      </c>
      <c r="G31" s="51">
        <v>7.42</v>
      </c>
      <c r="H31" s="51">
        <v>7.5</v>
      </c>
      <c r="I31" s="46">
        <v>145.85</v>
      </c>
      <c r="J31" s="46">
        <v>132.02000000000001</v>
      </c>
      <c r="K31" s="51">
        <v>2.86</v>
      </c>
      <c r="L31" s="51">
        <v>2.73</v>
      </c>
      <c r="M31" s="46">
        <f t="shared" si="4"/>
        <v>2.7949999999999999</v>
      </c>
      <c r="N31" s="51">
        <v>3.06</v>
      </c>
      <c r="O31" s="51">
        <v>2.88</v>
      </c>
      <c r="P31" s="46">
        <f t="shared" si="5"/>
        <v>2.9699999999999998</v>
      </c>
      <c r="Q31" s="66">
        <f t="shared" si="1"/>
        <v>7.073142130136852E-3</v>
      </c>
      <c r="R31" s="46">
        <v>93.5</v>
      </c>
      <c r="S31" s="46">
        <v>94.7</v>
      </c>
      <c r="T31" s="46">
        <f t="shared" si="6"/>
        <v>94.1</v>
      </c>
      <c r="U31" s="51">
        <v>15.82</v>
      </c>
      <c r="V31" s="51">
        <v>15.92</v>
      </c>
      <c r="W31" s="46">
        <f t="shared" si="7"/>
        <v>15.870000000000001</v>
      </c>
      <c r="X31" s="46"/>
      <c r="Y31" s="46"/>
      <c r="Z31" s="1"/>
      <c r="AA31" s="1"/>
      <c r="AB31" s="46"/>
      <c r="AC31" s="46"/>
      <c r="AD31" s="51">
        <v>0.38</v>
      </c>
      <c r="AE31" s="51">
        <v>0.35</v>
      </c>
      <c r="AF31" s="46">
        <f t="shared" si="8"/>
        <v>0.36499999999999999</v>
      </c>
      <c r="AG31" s="51">
        <v>0.43</v>
      </c>
      <c r="AH31" s="51">
        <v>0.38</v>
      </c>
      <c r="AI31" s="46">
        <f t="shared" si="9"/>
        <v>0.40500000000000003</v>
      </c>
      <c r="AJ31" s="51">
        <v>89.9</v>
      </c>
      <c r="AK31" s="51">
        <v>91.4</v>
      </c>
      <c r="AL31" s="46">
        <f t="shared" si="10"/>
        <v>90.65</v>
      </c>
      <c r="AM31" s="51">
        <v>13.04</v>
      </c>
      <c r="AN31" s="51">
        <v>12.95</v>
      </c>
      <c r="AO31" s="46">
        <f t="shared" si="11"/>
        <v>12.994999999999999</v>
      </c>
      <c r="AP31" s="46"/>
      <c r="AQ31" s="46"/>
      <c r="AR31" s="1"/>
      <c r="AS31" s="1"/>
      <c r="AT31" s="46"/>
      <c r="AU31" s="51"/>
      <c r="AV31" s="51" t="str">
        <f t="shared" si="12"/>
        <v>PN18</v>
      </c>
      <c r="AW31" s="46">
        <f t="shared" si="13"/>
        <v>5.9930555555547471</v>
      </c>
      <c r="AX31" s="89">
        <v>2.4665641666531086</v>
      </c>
      <c r="AY31" s="5"/>
      <c r="AZ31" s="58">
        <v>4000</v>
      </c>
      <c r="BA31" s="58">
        <v>760000</v>
      </c>
      <c r="BB31" s="58">
        <v>11032618238.94775</v>
      </c>
      <c r="BC31" s="58"/>
      <c r="BD31" s="58"/>
      <c r="BE31" s="5"/>
      <c r="BF31" s="5"/>
      <c r="BG31" s="5"/>
      <c r="BH31" s="5"/>
      <c r="BI31" s="5"/>
      <c r="BJ31" s="46"/>
      <c r="BK31" s="58"/>
      <c r="BL31" s="60"/>
      <c r="BM31" s="51"/>
      <c r="BN31" s="46"/>
      <c r="BO31" s="58"/>
      <c r="BP31" s="60"/>
    </row>
    <row r="32" spans="1:68" ht="14.25" customHeight="1" x14ac:dyDescent="0.15">
      <c r="A32" s="51" t="s">
        <v>78</v>
      </c>
      <c r="B32" s="65">
        <v>43663.865972222222</v>
      </c>
      <c r="C32" s="51">
        <f t="shared" si="14"/>
        <v>241.8833333333605</v>
      </c>
      <c r="D32" s="51">
        <f t="shared" si="2"/>
        <v>10.078472222223354</v>
      </c>
      <c r="E32" s="46">
        <f t="shared" si="15"/>
        <v>155.75000000005821</v>
      </c>
      <c r="F32" s="51">
        <f t="shared" si="0"/>
        <v>6.4895833333357587</v>
      </c>
      <c r="G32" s="51"/>
      <c r="H32" s="51"/>
      <c r="I32" s="46">
        <v>146.99</v>
      </c>
      <c r="J32" s="46">
        <v>132.16999999999999</v>
      </c>
      <c r="K32" s="51">
        <v>2.56</v>
      </c>
      <c r="L32" s="51">
        <v>2.65</v>
      </c>
      <c r="M32" s="46">
        <f t="shared" si="4"/>
        <v>2.605</v>
      </c>
      <c r="N32" s="51">
        <v>2.73</v>
      </c>
      <c r="O32" s="51">
        <v>2.81</v>
      </c>
      <c r="P32" s="46">
        <f t="shared" si="5"/>
        <v>2.77</v>
      </c>
      <c r="Q32" s="66">
        <f t="shared" si="1"/>
        <v>-5.9076445931138697E-3</v>
      </c>
      <c r="R32" s="46">
        <v>93.8</v>
      </c>
      <c r="S32" s="46">
        <v>94.3</v>
      </c>
      <c r="T32" s="46">
        <f t="shared" si="6"/>
        <v>94.05</v>
      </c>
      <c r="U32" s="51">
        <v>15.9</v>
      </c>
      <c r="V32" s="51">
        <v>15.92</v>
      </c>
      <c r="W32" s="46">
        <f t="shared" si="7"/>
        <v>15.91</v>
      </c>
      <c r="X32" s="46"/>
      <c r="Y32" s="46"/>
      <c r="Z32" s="1"/>
      <c r="AA32" s="1"/>
      <c r="AB32" s="46"/>
      <c r="AC32" s="46"/>
      <c r="AD32" s="51">
        <v>0.73</v>
      </c>
      <c r="AE32" s="51">
        <v>0.73</v>
      </c>
      <c r="AF32" s="46">
        <f t="shared" si="8"/>
        <v>0.73</v>
      </c>
      <c r="AG32" s="51">
        <v>0.79</v>
      </c>
      <c r="AH32" s="51">
        <v>0.79</v>
      </c>
      <c r="AI32" s="46">
        <f t="shared" si="9"/>
        <v>0.79</v>
      </c>
      <c r="AJ32" s="51">
        <v>92</v>
      </c>
      <c r="AK32" s="51">
        <v>92.6</v>
      </c>
      <c r="AL32" s="46">
        <f t="shared" si="10"/>
        <v>92.3</v>
      </c>
      <c r="AM32" s="51">
        <v>13.53</v>
      </c>
      <c r="AN32" s="51">
        <v>13.51</v>
      </c>
      <c r="AO32" s="46">
        <f t="shared" si="11"/>
        <v>13.52</v>
      </c>
      <c r="AP32" s="46"/>
      <c r="AQ32" s="46"/>
      <c r="AR32" s="1"/>
      <c r="AS32" s="1"/>
      <c r="AT32" s="46"/>
      <c r="AU32" s="51"/>
      <c r="AV32" s="51" t="str">
        <f t="shared" si="12"/>
        <v>PN19</v>
      </c>
      <c r="AW32" s="46">
        <f t="shared" si="13"/>
        <v>6.4895833333357587</v>
      </c>
      <c r="AX32" s="89">
        <v>2.2444681150151902</v>
      </c>
      <c r="AY32" s="5"/>
      <c r="AZ32" s="90" t="s">
        <v>168</v>
      </c>
      <c r="BA32" s="90">
        <v>1300000</v>
      </c>
      <c r="BB32" s="58">
        <v>7269186128.1305742</v>
      </c>
      <c r="BC32" s="58"/>
      <c r="BD32" s="58"/>
      <c r="BE32" s="1"/>
      <c r="BF32" s="5"/>
      <c r="BG32" s="5"/>
      <c r="BH32" s="5"/>
      <c r="BI32" s="5"/>
      <c r="BJ32" s="46"/>
      <c r="BK32" s="58"/>
      <c r="BL32" s="60"/>
      <c r="BM32" s="58"/>
      <c r="BN32" s="46"/>
      <c r="BO32" s="58"/>
      <c r="BP32" s="60"/>
    </row>
    <row r="33" spans="1:68" ht="14.25" customHeight="1" x14ac:dyDescent="0.15">
      <c r="A33" s="51" t="s">
        <v>79</v>
      </c>
      <c r="B33" s="65">
        <v>43664.340277777781</v>
      </c>
      <c r="C33" s="51">
        <f t="shared" si="14"/>
        <v>253.2666666667792</v>
      </c>
      <c r="D33" s="51">
        <f t="shared" si="2"/>
        <v>10.552777777782467</v>
      </c>
      <c r="E33" s="46">
        <f t="shared" si="15"/>
        <v>167.13333333347691</v>
      </c>
      <c r="F33" s="51">
        <f t="shared" si="0"/>
        <v>6.9638888888948713</v>
      </c>
      <c r="G33" s="51">
        <v>7.42</v>
      </c>
      <c r="H33" s="51">
        <v>7.46</v>
      </c>
      <c r="I33" s="46">
        <v>145.19</v>
      </c>
      <c r="J33" s="46">
        <v>132.28</v>
      </c>
      <c r="K33" s="51">
        <v>2.66</v>
      </c>
      <c r="L33" s="51">
        <v>2.65</v>
      </c>
      <c r="M33" s="46">
        <f t="shared" si="4"/>
        <v>2.6550000000000002</v>
      </c>
      <c r="N33" s="51">
        <v>2.83</v>
      </c>
      <c r="O33" s="51">
        <v>2.79</v>
      </c>
      <c r="P33" s="46">
        <f t="shared" si="5"/>
        <v>2.81</v>
      </c>
      <c r="Q33" s="66">
        <f t="shared" si="1"/>
        <v>1.670159252277843E-3</v>
      </c>
      <c r="R33" s="46">
        <v>94.1</v>
      </c>
      <c r="S33" s="46">
        <v>94.8</v>
      </c>
      <c r="T33" s="46">
        <f t="shared" si="6"/>
        <v>94.449999999999989</v>
      </c>
      <c r="U33" s="51">
        <v>15.91</v>
      </c>
      <c r="V33" s="51">
        <v>16.010000000000002</v>
      </c>
      <c r="W33" s="46">
        <f t="shared" si="7"/>
        <v>15.96</v>
      </c>
      <c r="X33" s="46"/>
      <c r="Y33" s="46"/>
      <c r="Z33" s="1"/>
      <c r="AA33" s="1"/>
      <c r="AB33" s="46"/>
      <c r="AC33" s="46"/>
      <c r="AD33" s="51">
        <v>0.88</v>
      </c>
      <c r="AE33" s="51">
        <v>0.9</v>
      </c>
      <c r="AF33" s="46">
        <f t="shared" si="8"/>
        <v>0.89</v>
      </c>
      <c r="AG33" s="51">
        <v>0.93</v>
      </c>
      <c r="AH33" s="51">
        <v>0.94</v>
      </c>
      <c r="AI33" s="46">
        <f t="shared" si="9"/>
        <v>0.93500000000000005</v>
      </c>
      <c r="AJ33" s="51">
        <v>94.7</v>
      </c>
      <c r="AK33" s="51">
        <v>95</v>
      </c>
      <c r="AL33" s="46">
        <f t="shared" si="10"/>
        <v>94.85</v>
      </c>
      <c r="AM33" s="51">
        <v>14.14</v>
      </c>
      <c r="AN33" s="51">
        <v>14.06</v>
      </c>
      <c r="AO33" s="46">
        <f t="shared" si="11"/>
        <v>14.100000000000001</v>
      </c>
      <c r="AP33" s="46"/>
      <c r="AQ33" s="46"/>
      <c r="AR33" s="1"/>
      <c r="AS33" s="1"/>
      <c r="AT33" s="46"/>
      <c r="AU33" s="51"/>
      <c r="AV33" s="51" t="str">
        <f t="shared" si="12"/>
        <v>PN20</v>
      </c>
      <c r="AW33" s="46">
        <f t="shared" si="13"/>
        <v>6.9638888888948713</v>
      </c>
      <c r="AX33" s="89">
        <v>2.2904932275918992</v>
      </c>
      <c r="AY33" s="5"/>
      <c r="AZ33" s="90" t="s">
        <v>169</v>
      </c>
      <c r="BA33" s="90">
        <v>56000</v>
      </c>
      <c r="BB33" s="58">
        <v>3223393899.0959516</v>
      </c>
      <c r="BC33" s="58"/>
      <c r="BD33" s="58"/>
      <c r="BE33" s="5"/>
      <c r="BF33" s="5"/>
      <c r="BG33" s="5"/>
      <c r="BH33" s="5"/>
      <c r="BI33" s="5"/>
      <c r="BJ33" s="46"/>
      <c r="BK33" s="58"/>
      <c r="BL33" s="60"/>
      <c r="BM33" s="51"/>
      <c r="BN33" s="46"/>
      <c r="BO33" s="58"/>
      <c r="BP33" s="60"/>
    </row>
    <row r="34" spans="1:68" ht="14.25" customHeight="1" x14ac:dyDescent="0.15">
      <c r="A34" s="51" t="s">
        <v>80</v>
      </c>
      <c r="B34" s="65">
        <v>43664.791666666664</v>
      </c>
      <c r="C34" s="51">
        <f t="shared" si="14"/>
        <v>264.09999999997672</v>
      </c>
      <c r="D34" s="51">
        <f t="shared" si="2"/>
        <v>11.004166666665697</v>
      </c>
      <c r="E34" s="46">
        <f t="shared" si="15"/>
        <v>177.96666666667443</v>
      </c>
      <c r="F34" s="51">
        <f t="shared" si="0"/>
        <v>7.4152777777781012</v>
      </c>
      <c r="G34" s="51"/>
      <c r="H34" s="51"/>
      <c r="I34" s="46">
        <v>144.75</v>
      </c>
      <c r="J34" s="46">
        <v>131.94999999999999</v>
      </c>
      <c r="K34" s="51">
        <v>2.4700000000000002</v>
      </c>
      <c r="L34" s="51">
        <v>2.61</v>
      </c>
      <c r="M34" s="46">
        <f t="shared" si="4"/>
        <v>2.54</v>
      </c>
      <c r="N34" s="51">
        <v>2.64</v>
      </c>
      <c r="O34" s="51">
        <v>2.77</v>
      </c>
      <c r="P34" s="46">
        <f t="shared" si="5"/>
        <v>2.7050000000000001</v>
      </c>
      <c r="Q34" s="66">
        <f t="shared" si="1"/>
        <v>-4.0874375689857415E-3</v>
      </c>
      <c r="R34" s="46">
        <v>93.6</v>
      </c>
      <c r="S34" s="46">
        <v>94.3</v>
      </c>
      <c r="T34" s="46">
        <f t="shared" si="6"/>
        <v>93.949999999999989</v>
      </c>
      <c r="U34" s="51">
        <v>16.11</v>
      </c>
      <c r="V34" s="51">
        <v>16.010000000000002</v>
      </c>
      <c r="W34" s="46">
        <f t="shared" si="7"/>
        <v>16.060000000000002</v>
      </c>
      <c r="X34" s="46"/>
      <c r="Y34" s="46"/>
      <c r="Z34" s="1"/>
      <c r="AA34" s="1"/>
      <c r="AB34" s="46"/>
      <c r="AC34" s="46"/>
      <c r="AD34" s="51">
        <v>1.18</v>
      </c>
      <c r="AE34" s="51">
        <v>1.19</v>
      </c>
      <c r="AF34" s="46">
        <f t="shared" si="8"/>
        <v>1.1850000000000001</v>
      </c>
      <c r="AG34" s="51">
        <v>1.24</v>
      </c>
      <c r="AH34" s="51">
        <v>1.24</v>
      </c>
      <c r="AI34" s="46">
        <f t="shared" si="9"/>
        <v>1.24</v>
      </c>
      <c r="AJ34" s="51">
        <v>95.1</v>
      </c>
      <c r="AK34" s="51">
        <v>95.6</v>
      </c>
      <c r="AL34" s="46">
        <f t="shared" si="10"/>
        <v>95.35</v>
      </c>
      <c r="AM34" s="51">
        <v>15.67</v>
      </c>
      <c r="AN34" s="51">
        <v>15.73</v>
      </c>
      <c r="AO34" s="46">
        <f t="shared" si="11"/>
        <v>15.7</v>
      </c>
      <c r="AP34" s="46"/>
      <c r="AQ34" s="46"/>
      <c r="AR34" s="1"/>
      <c r="AS34" s="1"/>
      <c r="AT34" s="46"/>
      <c r="AU34" s="51"/>
      <c r="AV34" s="51" t="str">
        <f t="shared" si="12"/>
        <v>PN21</v>
      </c>
      <c r="AW34" s="46">
        <f t="shared" si="13"/>
        <v>7.4152777777781012</v>
      </c>
      <c r="AX34" s="89">
        <v>0</v>
      </c>
      <c r="AY34" s="5"/>
      <c r="AZ34" s="58">
        <v>4</v>
      </c>
      <c r="BA34" s="58">
        <v>10000</v>
      </c>
      <c r="BB34" s="58">
        <v>2616477345.9776163</v>
      </c>
      <c r="BC34" s="58"/>
      <c r="BD34" s="58"/>
      <c r="BE34" s="5"/>
      <c r="BF34" s="5"/>
      <c r="BG34" s="5"/>
      <c r="BH34" s="5"/>
      <c r="BI34" s="5"/>
      <c r="BJ34" s="46"/>
      <c r="BK34" s="58"/>
      <c r="BL34" s="60"/>
      <c r="BM34" s="58"/>
      <c r="BN34" s="47"/>
      <c r="BO34" s="58"/>
      <c r="BP34" s="60"/>
    </row>
    <row r="35" spans="1:68" ht="13.5" customHeight="1" x14ac:dyDescent="0.15">
      <c r="A35" s="51" t="s">
        <v>81</v>
      </c>
      <c r="B35" s="65">
        <v>43665.329861111109</v>
      </c>
      <c r="C35" s="51">
        <f t="shared" si="14"/>
        <v>277.01666666666279</v>
      </c>
      <c r="D35" s="51">
        <f t="shared" si="2"/>
        <v>11.542361111110949</v>
      </c>
      <c r="E35" s="46">
        <f t="shared" si="15"/>
        <v>190.8833333333605</v>
      </c>
      <c r="F35" s="51">
        <f t="shared" si="0"/>
        <v>7.953472222223354</v>
      </c>
      <c r="G35" s="51"/>
      <c r="H35" s="51"/>
      <c r="I35" s="46">
        <v>145.79</v>
      </c>
      <c r="J35" s="46">
        <v>131.57</v>
      </c>
      <c r="K35" s="51">
        <v>2.9</v>
      </c>
      <c r="L35" s="51">
        <v>2.74</v>
      </c>
      <c r="M35" s="46">
        <f t="shared" si="4"/>
        <v>2.8200000000000003</v>
      </c>
      <c r="N35" s="51">
        <v>3.07</v>
      </c>
      <c r="O35" s="51">
        <v>2.89</v>
      </c>
      <c r="P35" s="46">
        <f t="shared" si="5"/>
        <v>2.98</v>
      </c>
      <c r="Q35" s="66">
        <f t="shared" si="1"/>
        <v>8.0959590131163828E-3</v>
      </c>
      <c r="R35" s="46">
        <v>94.4</v>
      </c>
      <c r="S35" s="46">
        <v>95</v>
      </c>
      <c r="T35" s="46">
        <f t="shared" si="6"/>
        <v>94.7</v>
      </c>
      <c r="U35" s="51">
        <v>16.11</v>
      </c>
      <c r="V35" s="51">
        <v>16.21</v>
      </c>
      <c r="W35" s="46">
        <f t="shared" si="7"/>
        <v>16.16</v>
      </c>
      <c r="X35" s="46"/>
      <c r="Y35" s="46"/>
      <c r="Z35" s="1"/>
      <c r="AA35" s="1"/>
      <c r="AB35" s="46"/>
      <c r="AC35" s="46"/>
      <c r="AD35" s="51">
        <v>1.56</v>
      </c>
      <c r="AE35" s="51">
        <v>1.64</v>
      </c>
      <c r="AF35" s="46">
        <f t="shared" si="8"/>
        <v>1.6</v>
      </c>
      <c r="AG35" s="51">
        <v>1.65</v>
      </c>
      <c r="AH35" s="51">
        <v>1.72</v>
      </c>
      <c r="AI35" s="46">
        <f t="shared" si="9"/>
        <v>1.6850000000000001</v>
      </c>
      <c r="AJ35" s="51">
        <v>94.8</v>
      </c>
      <c r="AK35" s="51">
        <v>95.4</v>
      </c>
      <c r="AL35" s="46">
        <f t="shared" si="10"/>
        <v>95.1</v>
      </c>
      <c r="AM35" s="51">
        <v>15.44</v>
      </c>
      <c r="AN35" s="51">
        <v>15.43</v>
      </c>
      <c r="AO35" s="46">
        <f t="shared" si="11"/>
        <v>15.434999999999999</v>
      </c>
      <c r="AP35" s="46"/>
      <c r="AQ35" s="46"/>
      <c r="AR35" s="46"/>
      <c r="AS35" s="46"/>
      <c r="AT35" s="46"/>
      <c r="AU35" s="51"/>
      <c r="AV35" s="51" t="str">
        <f t="shared" si="12"/>
        <v>PN22</v>
      </c>
      <c r="AW35" s="46">
        <f t="shared" si="13"/>
        <v>7.953472222223354</v>
      </c>
      <c r="AX35" s="89">
        <v>0</v>
      </c>
      <c r="AY35" s="5"/>
      <c r="AZ35" s="58">
        <v>4</v>
      </c>
      <c r="BA35" s="58">
        <v>1300</v>
      </c>
      <c r="BB35" s="58">
        <v>1054593765.3590542</v>
      </c>
      <c r="BC35" s="58"/>
      <c r="BD35" s="58"/>
      <c r="BE35" s="1"/>
      <c r="BF35" s="1"/>
      <c r="BG35" s="5"/>
      <c r="BH35" s="5"/>
      <c r="BI35" s="5"/>
      <c r="BJ35" s="46"/>
      <c r="BK35" s="58"/>
      <c r="BL35" s="60"/>
      <c r="BM35" s="58"/>
      <c r="BN35" s="46"/>
      <c r="BO35" s="58"/>
      <c r="BP35" s="60"/>
    </row>
    <row r="36" spans="1:68" ht="14.25" customHeight="1" x14ac:dyDescent="0.15">
      <c r="A36" s="51" t="s">
        <v>82</v>
      </c>
      <c r="B36" s="65">
        <v>43665.791666666664</v>
      </c>
      <c r="C36" s="51">
        <f t="shared" si="14"/>
        <v>288.09999999997672</v>
      </c>
      <c r="D36" s="51">
        <f t="shared" si="2"/>
        <v>12.004166666665697</v>
      </c>
      <c r="E36" s="46">
        <f t="shared" si="15"/>
        <v>201.96666666667443</v>
      </c>
      <c r="F36" s="51">
        <f t="shared" si="0"/>
        <v>8.4152777777781012</v>
      </c>
      <c r="G36" s="51"/>
      <c r="H36" s="51"/>
      <c r="I36" s="88"/>
      <c r="J36" s="88"/>
      <c r="K36" s="51">
        <v>2.37</v>
      </c>
      <c r="L36" s="51">
        <v>2.4500000000000002</v>
      </c>
      <c r="M36" s="46">
        <f t="shared" si="4"/>
        <v>2.41</v>
      </c>
      <c r="N36" s="51">
        <v>2.52</v>
      </c>
      <c r="O36" s="51">
        <v>2.6</v>
      </c>
      <c r="P36" s="46">
        <f t="shared" si="5"/>
        <v>2.56</v>
      </c>
      <c r="Q36" s="66">
        <f t="shared" si="1"/>
        <v>-1.4175350747163938E-2</v>
      </c>
      <c r="R36" s="46">
        <v>93.9</v>
      </c>
      <c r="S36" s="46">
        <v>94.4</v>
      </c>
      <c r="T36" s="46">
        <f t="shared" si="6"/>
        <v>94.15</v>
      </c>
      <c r="U36" s="51">
        <v>16</v>
      </c>
      <c r="V36" s="51">
        <v>15.96</v>
      </c>
      <c r="W36" s="46">
        <f t="shared" si="7"/>
        <v>15.98</v>
      </c>
      <c r="X36" s="46"/>
      <c r="Y36" s="46"/>
      <c r="Z36" s="1"/>
      <c r="AA36" s="1"/>
      <c r="AB36" s="46"/>
      <c r="AC36" s="46"/>
      <c r="AD36" s="51">
        <v>2.15</v>
      </c>
      <c r="AE36" s="51">
        <v>2.2200000000000002</v>
      </c>
      <c r="AF36" s="46">
        <f t="shared" si="8"/>
        <v>2.1850000000000001</v>
      </c>
      <c r="AG36" s="51">
        <v>2.27</v>
      </c>
      <c r="AH36" s="51">
        <v>2.3199999999999998</v>
      </c>
      <c r="AI36" s="46">
        <f t="shared" si="9"/>
        <v>2.2949999999999999</v>
      </c>
      <c r="AJ36" s="51">
        <v>94.5</v>
      </c>
      <c r="AK36" s="51">
        <v>95.7</v>
      </c>
      <c r="AL36" s="46">
        <f t="shared" si="10"/>
        <v>95.1</v>
      </c>
      <c r="AM36" s="51">
        <v>15.51</v>
      </c>
      <c r="AN36" s="51">
        <v>15.6</v>
      </c>
      <c r="AO36" s="46">
        <f t="shared" si="11"/>
        <v>15.555</v>
      </c>
      <c r="AP36" s="46"/>
      <c r="AQ36" s="46"/>
      <c r="AR36" s="1"/>
      <c r="AS36" s="46"/>
      <c r="AT36" s="46"/>
      <c r="AU36" s="51"/>
      <c r="AV36" s="51" t="str">
        <f t="shared" si="12"/>
        <v>PN23</v>
      </c>
      <c r="AW36" s="46">
        <f t="shared" si="13"/>
        <v>8.4152777777781012</v>
      </c>
      <c r="AX36" s="89">
        <v>0</v>
      </c>
      <c r="AY36" s="5"/>
      <c r="AZ36" s="58">
        <v>8</v>
      </c>
      <c r="BA36" s="92">
        <v>0</v>
      </c>
      <c r="BB36" s="58">
        <v>319209134.52352667</v>
      </c>
      <c r="BC36" s="93"/>
      <c r="BD36" s="92"/>
      <c r="BE36" s="5"/>
      <c r="BF36" s="5"/>
      <c r="BG36" s="5"/>
      <c r="BH36" s="5"/>
      <c r="BI36" s="5"/>
      <c r="BJ36" s="46"/>
      <c r="BK36" s="58"/>
      <c r="BL36" s="60"/>
      <c r="BM36" s="58"/>
      <c r="BN36" s="46"/>
      <c r="BO36" s="58"/>
      <c r="BP36" s="60"/>
    </row>
    <row r="37" spans="1:68" ht="13.5" customHeight="1" x14ac:dyDescent="0.15">
      <c r="A37" s="51" t="s">
        <v>83</v>
      </c>
      <c r="B37" s="65">
        <v>43666.340277777781</v>
      </c>
      <c r="C37" s="51">
        <f t="shared" si="14"/>
        <v>301.2666666667792</v>
      </c>
      <c r="D37" s="51">
        <f t="shared" si="2"/>
        <v>12.552777777782467</v>
      </c>
      <c r="E37" s="46">
        <f t="shared" si="15"/>
        <v>215.13333333347691</v>
      </c>
      <c r="F37" s="51">
        <f t="shared" si="0"/>
        <v>8.9638888888948713</v>
      </c>
      <c r="G37" s="51">
        <v>7.45</v>
      </c>
      <c r="H37" s="51">
        <v>7.54</v>
      </c>
      <c r="I37" s="46">
        <v>145.56</v>
      </c>
      <c r="J37" s="46">
        <v>131.62</v>
      </c>
      <c r="K37" s="51">
        <v>2.61</v>
      </c>
      <c r="L37" s="51">
        <v>2.54</v>
      </c>
      <c r="M37" s="46">
        <f t="shared" si="4"/>
        <v>2.5750000000000002</v>
      </c>
      <c r="N37" s="51">
        <v>2.76</v>
      </c>
      <c r="O37" s="51">
        <v>2.7</v>
      </c>
      <c r="P37" s="46">
        <f t="shared" si="5"/>
        <v>2.73</v>
      </c>
      <c r="Q37" s="66">
        <f t="shared" si="1"/>
        <v>5.0295787300597026E-3</v>
      </c>
      <c r="R37" s="46">
        <v>94.6</v>
      </c>
      <c r="S37" s="46">
        <v>93.9</v>
      </c>
      <c r="T37" s="46">
        <f t="shared" si="6"/>
        <v>94.25</v>
      </c>
      <c r="U37" s="51">
        <v>16.12</v>
      </c>
      <c r="V37" s="51">
        <v>16.09</v>
      </c>
      <c r="W37" s="46">
        <f t="shared" si="7"/>
        <v>16.105</v>
      </c>
      <c r="X37" s="46"/>
      <c r="Y37" s="46"/>
      <c r="Z37" s="46"/>
      <c r="AA37" s="1"/>
      <c r="AB37" s="46"/>
      <c r="AC37" s="46"/>
      <c r="AD37" s="51">
        <v>2.5499999999999998</v>
      </c>
      <c r="AE37" s="51">
        <v>2.36</v>
      </c>
      <c r="AF37" s="46">
        <f t="shared" si="8"/>
        <v>2.4550000000000001</v>
      </c>
      <c r="AG37" s="51">
        <v>2.69</v>
      </c>
      <c r="AH37" s="51">
        <v>2.48</v>
      </c>
      <c r="AI37" s="46">
        <f t="shared" si="9"/>
        <v>2.585</v>
      </c>
      <c r="AJ37" s="51">
        <v>95</v>
      </c>
      <c r="AK37" s="51">
        <v>95.4</v>
      </c>
      <c r="AL37" s="46">
        <f t="shared" si="10"/>
        <v>95.2</v>
      </c>
      <c r="AM37" s="51">
        <v>15.49</v>
      </c>
      <c r="AN37" s="51">
        <v>15.58</v>
      </c>
      <c r="AO37" s="46">
        <f t="shared" si="11"/>
        <v>15.535</v>
      </c>
      <c r="AP37" s="46"/>
      <c r="AQ37" s="46"/>
      <c r="AR37" s="46"/>
      <c r="AS37" s="46"/>
      <c r="AT37" s="46"/>
      <c r="AU37" s="51"/>
      <c r="AV37" s="51" t="str">
        <f t="shared" si="12"/>
        <v>PN24</v>
      </c>
      <c r="AW37" s="46">
        <f t="shared" si="13"/>
        <v>8.9638888888948713</v>
      </c>
      <c r="AX37" s="89">
        <v>0</v>
      </c>
      <c r="AY37" s="5"/>
      <c r="AZ37" s="58">
        <v>620000</v>
      </c>
      <c r="BA37" s="58">
        <v>3200000</v>
      </c>
      <c r="BB37" s="58">
        <v>233030594.69762743</v>
      </c>
      <c r="BC37" s="58"/>
      <c r="BD37" s="58"/>
      <c r="BE37" s="5"/>
      <c r="BF37" s="5"/>
      <c r="BG37" s="5"/>
      <c r="BH37" s="5"/>
      <c r="BI37" s="5"/>
      <c r="BJ37" s="46"/>
      <c r="BK37" s="58"/>
      <c r="BL37" s="60"/>
      <c r="BM37" s="58"/>
      <c r="BN37" s="46"/>
      <c r="BO37" s="58"/>
      <c r="BP37" s="60"/>
    </row>
    <row r="38" spans="1:68" ht="14.25" customHeight="1" x14ac:dyDescent="0.15">
      <c r="A38" s="51" t="s">
        <v>84</v>
      </c>
      <c r="B38" s="65">
        <v>43666.79583333333</v>
      </c>
      <c r="C38" s="51">
        <f t="shared" si="14"/>
        <v>312.19999999995343</v>
      </c>
      <c r="D38" s="51">
        <f t="shared" si="2"/>
        <v>13.008333333331393</v>
      </c>
      <c r="E38" s="46">
        <f t="shared" si="15"/>
        <v>226.06666666665114</v>
      </c>
      <c r="F38" s="51">
        <f t="shared" si="0"/>
        <v>9.4194444444437977</v>
      </c>
      <c r="G38" s="51"/>
      <c r="H38" s="51"/>
      <c r="I38" s="46">
        <v>145.49</v>
      </c>
      <c r="J38" s="46">
        <v>132.44999999999999</v>
      </c>
      <c r="K38" s="51">
        <v>2.37</v>
      </c>
      <c r="L38" s="51">
        <v>2.35</v>
      </c>
      <c r="M38" s="46">
        <f t="shared" si="4"/>
        <v>2.3600000000000003</v>
      </c>
      <c r="N38" s="51">
        <v>2.52</v>
      </c>
      <c r="O38" s="51">
        <v>2.5</v>
      </c>
      <c r="P38" s="46">
        <f t="shared" si="5"/>
        <v>2.5099999999999998</v>
      </c>
      <c r="Q38" s="66">
        <f t="shared" si="1"/>
        <v>-7.9745044279984252E-3</v>
      </c>
      <c r="R38" s="46">
        <v>94.4</v>
      </c>
      <c r="S38" s="46">
        <v>94</v>
      </c>
      <c r="T38" s="46">
        <f t="shared" si="6"/>
        <v>94.2</v>
      </c>
      <c r="U38" s="51">
        <v>16.14</v>
      </c>
      <c r="V38" s="51">
        <v>16.190000000000001</v>
      </c>
      <c r="W38" s="46">
        <f t="shared" si="7"/>
        <v>16.164999999999999</v>
      </c>
      <c r="X38" s="46"/>
      <c r="Y38" s="46"/>
      <c r="Z38" s="1"/>
      <c r="AA38" s="1"/>
      <c r="AB38" s="46"/>
      <c r="AC38" s="46"/>
      <c r="AD38" s="51">
        <v>1.24</v>
      </c>
      <c r="AE38" s="51">
        <v>1.19</v>
      </c>
      <c r="AF38" s="46">
        <f t="shared" si="8"/>
        <v>1.2149999999999999</v>
      </c>
      <c r="AG38" s="51">
        <v>1.35</v>
      </c>
      <c r="AH38" s="51">
        <v>1.29</v>
      </c>
      <c r="AI38" s="46">
        <f t="shared" si="9"/>
        <v>1.32</v>
      </c>
      <c r="AJ38" s="51">
        <v>92.2</v>
      </c>
      <c r="AK38" s="51">
        <v>92.3</v>
      </c>
      <c r="AL38" s="46">
        <f t="shared" si="10"/>
        <v>92.25</v>
      </c>
      <c r="AM38" s="51">
        <v>13.65</v>
      </c>
      <c r="AN38" s="51">
        <v>13.55</v>
      </c>
      <c r="AO38" s="46">
        <f t="shared" si="11"/>
        <v>13.600000000000001</v>
      </c>
      <c r="AP38" s="46"/>
      <c r="AQ38" s="46"/>
      <c r="AR38" s="46"/>
      <c r="AS38" s="46"/>
      <c r="AT38" s="46"/>
      <c r="AU38" s="51"/>
      <c r="AV38" s="51" t="str">
        <f t="shared" si="12"/>
        <v>PN25</v>
      </c>
      <c r="AW38" s="46">
        <f t="shared" si="13"/>
        <v>9.4194444444437977</v>
      </c>
      <c r="AX38" s="89">
        <v>2.8220470689933506</v>
      </c>
      <c r="AY38" s="5"/>
      <c r="AZ38" s="58">
        <v>48000000</v>
      </c>
      <c r="BA38" s="58">
        <v>43000000</v>
      </c>
      <c r="BB38" s="58">
        <v>60219071364.778267</v>
      </c>
      <c r="BC38" s="58"/>
      <c r="BD38" s="58"/>
      <c r="BE38" s="1"/>
      <c r="BF38" s="5"/>
      <c r="BG38" s="5"/>
      <c r="BH38" s="5"/>
      <c r="BI38" s="5"/>
      <c r="BJ38" s="46"/>
      <c r="BK38" s="58"/>
      <c r="BL38" s="60"/>
      <c r="BM38" s="58"/>
      <c r="BN38" s="46"/>
      <c r="BO38" s="58"/>
      <c r="BP38" s="60"/>
    </row>
    <row r="39" spans="1:68" ht="14.25" customHeight="1" x14ac:dyDescent="0.15">
      <c r="A39" s="51" t="s">
        <v>85</v>
      </c>
      <c r="B39" s="65">
        <v>43667.343055555553</v>
      </c>
      <c r="C39" s="51">
        <f t="shared" si="14"/>
        <v>325.33333333331393</v>
      </c>
      <c r="D39" s="51">
        <f t="shared" si="2"/>
        <v>13.555555555554747</v>
      </c>
      <c r="E39" s="46">
        <f t="shared" si="15"/>
        <v>239.20000000001164</v>
      </c>
      <c r="F39" s="51">
        <f t="shared" si="0"/>
        <v>9.9666666666671517</v>
      </c>
      <c r="G39" s="51">
        <v>7.48</v>
      </c>
      <c r="H39" s="51">
        <v>7.48</v>
      </c>
      <c r="I39" s="46">
        <v>145.66</v>
      </c>
      <c r="J39" s="46">
        <v>132</v>
      </c>
      <c r="K39" s="51">
        <v>2.46</v>
      </c>
      <c r="L39" s="51">
        <v>2.46</v>
      </c>
      <c r="M39" s="51">
        <f t="shared" si="4"/>
        <v>2.46</v>
      </c>
      <c r="N39" s="51">
        <v>2.63</v>
      </c>
      <c r="O39" s="51">
        <v>2.63</v>
      </c>
      <c r="P39" s="46">
        <f t="shared" si="5"/>
        <v>2.63</v>
      </c>
      <c r="Q39" s="66">
        <f t="shared" si="1"/>
        <v>3.1598779878172687E-3</v>
      </c>
      <c r="R39" s="46">
        <v>93.6</v>
      </c>
      <c r="S39" s="46">
        <v>93.4</v>
      </c>
      <c r="T39" s="51">
        <f t="shared" si="6"/>
        <v>93.5</v>
      </c>
      <c r="U39" s="51">
        <v>16.13</v>
      </c>
      <c r="V39" s="51">
        <v>16.149999999999999</v>
      </c>
      <c r="W39" s="46">
        <f t="shared" si="7"/>
        <v>16.14</v>
      </c>
      <c r="X39" s="46"/>
      <c r="Y39" s="46"/>
      <c r="Z39" s="46"/>
      <c r="AA39" s="46"/>
      <c r="AB39" s="46"/>
      <c r="AC39" s="46"/>
      <c r="AD39" s="51">
        <v>0.33</v>
      </c>
      <c r="AE39" s="51">
        <v>0.35</v>
      </c>
      <c r="AF39" s="46">
        <f t="shared" si="8"/>
        <v>0.33999999999999997</v>
      </c>
      <c r="AG39" s="51">
        <v>0.39</v>
      </c>
      <c r="AH39" s="51">
        <v>0.4</v>
      </c>
      <c r="AI39" s="46">
        <f t="shared" si="9"/>
        <v>0.39500000000000002</v>
      </c>
      <c r="AJ39" s="51">
        <v>84.5</v>
      </c>
      <c r="AK39" s="51">
        <v>86.7</v>
      </c>
      <c r="AL39" s="46">
        <f t="shared" si="10"/>
        <v>85.6</v>
      </c>
      <c r="AM39" s="51">
        <v>12.86</v>
      </c>
      <c r="AN39" s="51">
        <v>12.83</v>
      </c>
      <c r="AO39" s="46">
        <f t="shared" si="11"/>
        <v>12.844999999999999</v>
      </c>
      <c r="AP39" s="46"/>
      <c r="AQ39" s="46"/>
      <c r="AR39" s="46"/>
      <c r="AS39" s="46"/>
      <c r="AT39" s="46"/>
      <c r="AU39" s="51"/>
      <c r="AV39" s="51" t="str">
        <f t="shared" si="12"/>
        <v>PN26</v>
      </c>
      <c r="AW39" s="46">
        <f t="shared" si="13"/>
        <v>9.9666666666671517</v>
      </c>
      <c r="AX39" s="89">
        <v>2.6508735629582056</v>
      </c>
      <c r="AY39" s="5"/>
      <c r="AZ39" s="58">
        <v>480000</v>
      </c>
      <c r="BA39" s="58">
        <v>4300000</v>
      </c>
      <c r="BB39" s="58">
        <v>23594893254.624023</v>
      </c>
      <c r="BC39" s="58"/>
      <c r="BD39" s="58"/>
      <c r="BE39" s="5"/>
      <c r="BF39" s="5"/>
      <c r="BG39" s="5"/>
      <c r="BH39" s="5"/>
      <c r="BI39" s="5"/>
      <c r="BJ39" s="46"/>
      <c r="BK39" s="58"/>
      <c r="BL39" s="60"/>
      <c r="BM39" s="58"/>
      <c r="BN39" s="46"/>
      <c r="BO39" s="58"/>
      <c r="BP39" s="60"/>
    </row>
    <row r="40" spans="1:68" ht="14.25" customHeight="1" x14ac:dyDescent="0.15">
      <c r="A40" s="51" t="s">
        <v>86</v>
      </c>
      <c r="B40" s="65">
        <v>43667.803472222222</v>
      </c>
      <c r="C40" s="51">
        <f t="shared" si="14"/>
        <v>336.3833333333605</v>
      </c>
      <c r="D40" s="51">
        <f t="shared" si="2"/>
        <v>14.015972222223354</v>
      </c>
      <c r="E40" s="46">
        <f t="shared" si="15"/>
        <v>250.25000000005821</v>
      </c>
      <c r="F40" s="51">
        <f t="shared" si="0"/>
        <v>10.427083333335759</v>
      </c>
      <c r="G40" s="51"/>
      <c r="H40" s="51"/>
      <c r="I40" s="46">
        <v>146.38999999999999</v>
      </c>
      <c r="J40" s="46">
        <v>132.16999999999999</v>
      </c>
      <c r="K40" s="51">
        <v>2.19</v>
      </c>
      <c r="L40" s="51">
        <v>2.15</v>
      </c>
      <c r="M40" s="51">
        <f t="shared" si="4"/>
        <v>2.17</v>
      </c>
      <c r="N40" s="51">
        <v>2.34</v>
      </c>
      <c r="O40" s="51">
        <v>2.29</v>
      </c>
      <c r="P40" s="46">
        <f t="shared" si="5"/>
        <v>2.3149999999999999</v>
      </c>
      <c r="Q40" s="66">
        <f t="shared" si="1"/>
        <v>-1.1351509718676444E-2</v>
      </c>
      <c r="R40" s="46">
        <v>93.9</v>
      </c>
      <c r="S40" s="46">
        <v>93.7</v>
      </c>
      <c r="T40" s="51">
        <f t="shared" si="6"/>
        <v>93.800000000000011</v>
      </c>
      <c r="U40" s="51">
        <v>16.45</v>
      </c>
      <c r="V40" s="51">
        <v>16.55</v>
      </c>
      <c r="W40" s="46">
        <f t="shared" si="7"/>
        <v>16.5</v>
      </c>
      <c r="X40" s="46"/>
      <c r="Y40" s="46"/>
      <c r="Z40" s="1"/>
      <c r="AA40" s="46"/>
      <c r="AB40" s="46"/>
      <c r="AC40" s="46"/>
      <c r="AD40" s="51">
        <v>0.77</v>
      </c>
      <c r="AE40" s="51">
        <v>0.73</v>
      </c>
      <c r="AF40" s="46">
        <f t="shared" si="8"/>
        <v>0.75</v>
      </c>
      <c r="AG40" s="51">
        <v>0.81</v>
      </c>
      <c r="AH40" s="51">
        <v>0.77</v>
      </c>
      <c r="AI40" s="46">
        <f t="shared" si="9"/>
        <v>0.79</v>
      </c>
      <c r="AJ40" s="51">
        <v>94.8</v>
      </c>
      <c r="AK40" s="51">
        <v>95.3</v>
      </c>
      <c r="AL40" s="46">
        <f t="shared" si="10"/>
        <v>95.05</v>
      </c>
      <c r="AM40" s="51">
        <v>14.28</v>
      </c>
      <c r="AN40" s="51">
        <v>14.39</v>
      </c>
      <c r="AO40" s="46">
        <f t="shared" si="11"/>
        <v>14.335000000000001</v>
      </c>
      <c r="AP40" s="46"/>
      <c r="AQ40" s="46"/>
      <c r="AR40" s="46"/>
      <c r="AS40" s="46"/>
      <c r="AT40" s="46"/>
      <c r="AU40" s="51"/>
      <c r="AV40" s="51" t="str">
        <f t="shared" si="12"/>
        <v>PN27</v>
      </c>
      <c r="AW40" s="46">
        <f t="shared" si="13"/>
        <v>10.427083333335759</v>
      </c>
      <c r="AX40" s="89">
        <v>2.3978580833165482</v>
      </c>
      <c r="AY40" s="5"/>
      <c r="AZ40" s="58">
        <v>2000</v>
      </c>
      <c r="BA40" s="58">
        <v>3200000</v>
      </c>
      <c r="BB40" s="58">
        <v>15436688873.541931</v>
      </c>
      <c r="BC40" s="58"/>
      <c r="BD40" s="58"/>
      <c r="BE40" s="5"/>
      <c r="BF40" s="5"/>
      <c r="BG40" s="5"/>
      <c r="BH40" s="5"/>
      <c r="BI40" s="5"/>
      <c r="BJ40" s="46"/>
      <c r="BK40" s="58"/>
      <c r="BL40" s="60"/>
      <c r="BM40" s="58"/>
      <c r="BN40" s="46"/>
      <c r="BO40" s="58"/>
      <c r="BP40" s="60"/>
    </row>
    <row r="41" spans="1:68" ht="14.25" customHeight="1" x14ac:dyDescent="0.15">
      <c r="A41" s="51" t="s">
        <v>87</v>
      </c>
      <c r="B41" s="65">
        <v>43668.338194444441</v>
      </c>
      <c r="C41" s="51">
        <f t="shared" si="14"/>
        <v>349.21666666661622</v>
      </c>
      <c r="D41" s="51">
        <f t="shared" si="2"/>
        <v>14.550694444442343</v>
      </c>
      <c r="E41" s="46">
        <f t="shared" si="15"/>
        <v>263.08333333331393</v>
      </c>
      <c r="F41" s="51">
        <f t="shared" si="0"/>
        <v>10.961805555554747</v>
      </c>
      <c r="G41" s="51">
        <v>7.49</v>
      </c>
      <c r="H41" s="51">
        <v>7.53</v>
      </c>
      <c r="I41" s="46">
        <v>145.51</v>
      </c>
      <c r="J41" s="46">
        <v>131.51</v>
      </c>
      <c r="K41" s="51">
        <v>2.48</v>
      </c>
      <c r="L41" s="51">
        <v>2.52</v>
      </c>
      <c r="M41" s="51">
        <f t="shared" si="4"/>
        <v>2.5</v>
      </c>
      <c r="N41" s="51">
        <v>2.66</v>
      </c>
      <c r="O41" s="51">
        <v>2.7</v>
      </c>
      <c r="P41" s="46">
        <f t="shared" si="5"/>
        <v>2.68</v>
      </c>
      <c r="Q41" s="66">
        <f t="shared" si="1"/>
        <v>1.1030927090076083E-2</v>
      </c>
      <c r="R41" s="46">
        <v>93.3</v>
      </c>
      <c r="S41" s="46">
        <v>93.3</v>
      </c>
      <c r="T41" s="51">
        <f t="shared" si="6"/>
        <v>93.3</v>
      </c>
      <c r="U41" s="51">
        <v>15.91</v>
      </c>
      <c r="V41" s="51">
        <v>15.93</v>
      </c>
      <c r="W41" s="46">
        <f t="shared" si="7"/>
        <v>15.92</v>
      </c>
      <c r="X41" s="46"/>
      <c r="Y41" s="46"/>
      <c r="Z41" s="46"/>
      <c r="AA41" s="46"/>
      <c r="AB41" s="46"/>
      <c r="AC41" s="46"/>
      <c r="AD41" s="51">
        <v>0.56999999999999995</v>
      </c>
      <c r="AE41" s="51">
        <v>0.61</v>
      </c>
      <c r="AF41" s="46">
        <f t="shared" si="8"/>
        <v>0.59</v>
      </c>
      <c r="AG41" s="51">
        <v>0.62</v>
      </c>
      <c r="AH41" s="51">
        <v>0.65</v>
      </c>
      <c r="AI41" s="46">
        <f t="shared" si="9"/>
        <v>0.63500000000000001</v>
      </c>
      <c r="AJ41" s="51">
        <v>92.3</v>
      </c>
      <c r="AK41" s="51">
        <v>92.5</v>
      </c>
      <c r="AL41" s="46">
        <f t="shared" si="10"/>
        <v>92.4</v>
      </c>
      <c r="AM41" s="51">
        <v>14.18</v>
      </c>
      <c r="AN41" s="51">
        <v>15</v>
      </c>
      <c r="AO41" s="46">
        <f t="shared" si="11"/>
        <v>14.59</v>
      </c>
      <c r="AP41" s="46"/>
      <c r="AQ41" s="46"/>
      <c r="AR41" s="46"/>
      <c r="AS41" s="46"/>
      <c r="AT41" s="46"/>
      <c r="AU41" s="51"/>
      <c r="AV41" s="51" t="str">
        <f t="shared" si="12"/>
        <v>PN28</v>
      </c>
      <c r="AW41" s="46">
        <f t="shared" si="13"/>
        <v>10.961805555554747</v>
      </c>
      <c r="AX41" s="89">
        <v>2.2641628961527949</v>
      </c>
      <c r="AY41" s="5"/>
      <c r="AZ41" s="58">
        <v>800</v>
      </c>
      <c r="BA41" s="90">
        <v>430000</v>
      </c>
      <c r="BB41" s="58">
        <v>7016660552.0923557</v>
      </c>
      <c r="BC41" s="58"/>
      <c r="BD41" s="58"/>
      <c r="BE41" s="1"/>
      <c r="BF41" s="5"/>
      <c r="BG41" s="5"/>
      <c r="BH41" s="5"/>
      <c r="BI41" s="5"/>
      <c r="BJ41" s="46"/>
      <c r="BK41" s="58"/>
      <c r="BL41" s="60"/>
      <c r="BM41" s="58"/>
      <c r="BN41" s="46"/>
      <c r="BO41" s="58"/>
      <c r="BP41" s="60"/>
    </row>
    <row r="42" spans="1:68" ht="14.25" customHeight="1" x14ac:dyDescent="0.15">
      <c r="A42" s="51" t="s">
        <v>88</v>
      </c>
      <c r="B42" s="65">
        <v>43668.796527777777</v>
      </c>
      <c r="C42" s="51">
        <f t="shared" si="14"/>
        <v>360.21666666667443</v>
      </c>
      <c r="D42" s="51">
        <f t="shared" si="2"/>
        <v>15.009027777778101</v>
      </c>
      <c r="E42" s="46">
        <f t="shared" si="15"/>
        <v>274.08333333337214</v>
      </c>
      <c r="F42" s="51">
        <f t="shared" si="0"/>
        <v>11.420138888890506</v>
      </c>
      <c r="G42" s="51"/>
      <c r="H42" s="51"/>
      <c r="I42" s="46">
        <v>145.63</v>
      </c>
      <c r="J42" s="46">
        <v>132.05000000000001</v>
      </c>
      <c r="K42" s="51">
        <v>2.37</v>
      </c>
      <c r="L42" s="51">
        <v>2.36</v>
      </c>
      <c r="M42" s="51">
        <f t="shared" si="4"/>
        <v>2.3650000000000002</v>
      </c>
      <c r="N42" s="51">
        <v>2.52</v>
      </c>
      <c r="O42" s="51">
        <v>2.5</v>
      </c>
      <c r="P42" s="46">
        <f t="shared" si="5"/>
        <v>2.5099999999999998</v>
      </c>
      <c r="Q42" s="66">
        <f t="shared" si="1"/>
        <v>-5.0466099936331771E-3</v>
      </c>
      <c r="R42" s="46">
        <v>94.2</v>
      </c>
      <c r="S42" s="46">
        <v>94.3</v>
      </c>
      <c r="T42" s="51">
        <f t="shared" si="6"/>
        <v>94.25</v>
      </c>
      <c r="U42" s="51">
        <v>16.16</v>
      </c>
      <c r="V42" s="51">
        <v>16.23</v>
      </c>
      <c r="W42" s="46">
        <f t="shared" si="7"/>
        <v>16.195</v>
      </c>
      <c r="X42" s="46"/>
      <c r="Y42" s="46"/>
      <c r="Z42" s="46"/>
      <c r="AA42" s="46"/>
      <c r="AB42" s="46"/>
      <c r="AC42" s="46"/>
      <c r="AD42" s="51">
        <v>0.88</v>
      </c>
      <c r="AE42" s="51">
        <v>0.92</v>
      </c>
      <c r="AF42" s="46">
        <f t="shared" si="8"/>
        <v>0.9</v>
      </c>
      <c r="AG42" s="51">
        <v>0.93</v>
      </c>
      <c r="AH42" s="51">
        <v>0.97</v>
      </c>
      <c r="AI42" s="46">
        <f t="shared" si="9"/>
        <v>0.95</v>
      </c>
      <c r="AJ42" s="51">
        <v>94.2</v>
      </c>
      <c r="AK42" s="51">
        <v>94.9</v>
      </c>
      <c r="AL42" s="46">
        <f t="shared" si="10"/>
        <v>94.550000000000011</v>
      </c>
      <c r="AM42" s="51">
        <v>15.24</v>
      </c>
      <c r="AN42" s="51">
        <v>15.36</v>
      </c>
      <c r="AO42" s="46">
        <f t="shared" si="11"/>
        <v>15.3</v>
      </c>
      <c r="AP42" s="46"/>
      <c r="AQ42" s="46"/>
      <c r="AR42" s="46"/>
      <c r="AS42" s="46"/>
      <c r="AT42" s="46"/>
      <c r="AU42" s="51"/>
      <c r="AV42" s="51" t="str">
        <f t="shared" si="12"/>
        <v>PN29</v>
      </c>
      <c r="AW42" s="46">
        <f t="shared" si="13"/>
        <v>11.420138888890506</v>
      </c>
      <c r="AX42" s="89">
        <v>2.0402413189579471</v>
      </c>
      <c r="AY42" s="5"/>
      <c r="AZ42" s="58">
        <v>120</v>
      </c>
      <c r="BA42" s="58">
        <v>130000</v>
      </c>
      <c r="BB42" s="58">
        <v>3508860905.8244348</v>
      </c>
      <c r="BC42" s="58"/>
      <c r="BD42" s="58"/>
      <c r="BE42" s="5"/>
      <c r="BF42" s="5"/>
      <c r="BG42" s="5"/>
      <c r="BH42" s="5"/>
      <c r="BI42" s="5"/>
      <c r="BJ42" s="46"/>
      <c r="BK42" s="58"/>
      <c r="BL42" s="60"/>
      <c r="BM42" s="58"/>
      <c r="BN42" s="51"/>
      <c r="BO42" s="58"/>
      <c r="BP42" s="60"/>
    </row>
    <row r="43" spans="1:68" ht="14.25" customHeight="1" x14ac:dyDescent="0.15">
      <c r="A43" s="51" t="s">
        <v>89</v>
      </c>
      <c r="B43" s="65">
        <v>43669.34652777778</v>
      </c>
      <c r="C43" s="51">
        <f t="shared" si="14"/>
        <v>373.41666666674428</v>
      </c>
      <c r="D43" s="51">
        <f t="shared" si="2"/>
        <v>15.559027777781012</v>
      </c>
      <c r="E43" s="46">
        <f t="shared" si="15"/>
        <v>287.28333333344199</v>
      </c>
      <c r="F43" s="51">
        <f t="shared" si="0"/>
        <v>11.970138888893416</v>
      </c>
      <c r="G43" s="51">
        <v>7.51</v>
      </c>
      <c r="H43" s="51">
        <v>7.53</v>
      </c>
      <c r="I43" s="46">
        <v>147.21</v>
      </c>
      <c r="J43" s="46">
        <v>132.27000000000001</v>
      </c>
      <c r="K43" s="51">
        <v>2.48</v>
      </c>
      <c r="L43" s="51">
        <v>2.4500000000000002</v>
      </c>
      <c r="M43" s="51">
        <f>AVERAGE(K43:L43)</f>
        <v>2.4649999999999999</v>
      </c>
      <c r="N43" s="51">
        <v>2.65</v>
      </c>
      <c r="O43" s="51">
        <v>2.61</v>
      </c>
      <c r="P43" s="46">
        <f t="shared" ref="P43:P61" si="16">AVERAGE(N43:O43)</f>
        <v>2.63</v>
      </c>
      <c r="Q43" s="66">
        <f t="shared" si="1"/>
        <v>3.1374079962528619E-3</v>
      </c>
      <c r="R43" s="46">
        <v>93.6</v>
      </c>
      <c r="S43" s="46">
        <v>94.2</v>
      </c>
      <c r="T43" s="51">
        <f>AVERAGE(R43:S43)</f>
        <v>93.9</v>
      </c>
      <c r="U43" s="51">
        <v>15.91</v>
      </c>
      <c r="V43" s="51">
        <v>15.88</v>
      </c>
      <c r="W43" s="46">
        <f>AVERAGE(U43:V43)</f>
        <v>15.895</v>
      </c>
      <c r="X43" s="46"/>
      <c r="Y43" s="46"/>
      <c r="Z43" s="46"/>
      <c r="AA43" s="46"/>
      <c r="AB43" s="46"/>
      <c r="AC43" s="46"/>
      <c r="AD43" s="51">
        <v>1.07</v>
      </c>
      <c r="AE43" s="51">
        <v>1.04</v>
      </c>
      <c r="AF43" s="46">
        <f t="shared" si="8"/>
        <v>1.0550000000000002</v>
      </c>
      <c r="AG43" s="51">
        <v>1.1200000000000001</v>
      </c>
      <c r="AH43" s="51">
        <v>1.1100000000000001</v>
      </c>
      <c r="AI43" s="46">
        <f t="shared" si="9"/>
        <v>1.1150000000000002</v>
      </c>
      <c r="AJ43" s="51">
        <v>95.2</v>
      </c>
      <c r="AK43" s="51">
        <v>93.7</v>
      </c>
      <c r="AL43" s="46">
        <f t="shared" si="10"/>
        <v>94.45</v>
      </c>
      <c r="AM43" s="51">
        <v>15.18</v>
      </c>
      <c r="AN43" s="51">
        <v>15.24</v>
      </c>
      <c r="AO43" s="46">
        <f t="shared" si="11"/>
        <v>15.21</v>
      </c>
      <c r="AP43" s="46"/>
      <c r="AQ43" s="46"/>
      <c r="AR43" s="46"/>
      <c r="AS43" s="46"/>
      <c r="AT43" s="46"/>
      <c r="AU43" s="51"/>
      <c r="AV43" s="51" t="str">
        <f t="shared" si="12"/>
        <v>PN30</v>
      </c>
      <c r="AW43" s="46">
        <f t="shared" si="13"/>
        <v>11.970138888893416</v>
      </c>
      <c r="AX43" s="89">
        <v>0</v>
      </c>
      <c r="AY43" s="5"/>
      <c r="AZ43" s="58">
        <v>12</v>
      </c>
      <c r="BA43" s="58">
        <v>24000</v>
      </c>
      <c r="BB43" s="58">
        <v>2437846376.2476072</v>
      </c>
      <c r="BC43" s="58"/>
      <c r="BD43" s="58"/>
      <c r="BE43" s="5"/>
      <c r="BF43" s="5"/>
      <c r="BG43" s="5"/>
      <c r="BH43" s="5"/>
      <c r="BI43" s="5"/>
      <c r="BJ43" s="46"/>
      <c r="BK43" s="58"/>
      <c r="BL43" s="60"/>
      <c r="BM43" s="58"/>
      <c r="BN43" s="46"/>
      <c r="BO43" s="58"/>
      <c r="BP43" s="60"/>
    </row>
    <row r="44" spans="1:68" ht="14.25" customHeight="1" x14ac:dyDescent="0.15">
      <c r="A44" s="51" t="s">
        <v>90</v>
      </c>
      <c r="B44" s="65">
        <v>43669.807638888888</v>
      </c>
      <c r="C44" s="51">
        <f t="shared" si="14"/>
        <v>384.48333333333721</v>
      </c>
      <c r="D44" s="51">
        <f t="shared" si="2"/>
        <v>16.020138888889051</v>
      </c>
      <c r="E44" s="46">
        <f t="shared" si="15"/>
        <v>298.35000000003492</v>
      </c>
      <c r="F44" s="51">
        <f t="shared" si="0"/>
        <v>12.431250000001455</v>
      </c>
      <c r="G44" s="51"/>
      <c r="H44" s="51"/>
      <c r="I44" s="46">
        <v>145.97</v>
      </c>
      <c r="J44" s="46">
        <v>131.11000000000001</v>
      </c>
      <c r="K44" s="51">
        <v>2.38</v>
      </c>
      <c r="L44" s="51">
        <v>2.36</v>
      </c>
      <c r="M44" s="51">
        <f>AVERAGE(K44:L44)</f>
        <v>2.37</v>
      </c>
      <c r="N44" s="51">
        <v>2.5499999999999998</v>
      </c>
      <c r="O44" s="51">
        <v>2.4700000000000002</v>
      </c>
      <c r="P44" s="46">
        <f t="shared" si="16"/>
        <v>2.5099999999999998</v>
      </c>
      <c r="Q44" s="66">
        <f t="shared" si="1"/>
        <v>-3.5513722001092192E-3</v>
      </c>
      <c r="R44" s="46">
        <v>93.5</v>
      </c>
      <c r="S44" s="46">
        <v>95.5</v>
      </c>
      <c r="T44" s="51">
        <f>AVERAGE(R44:S44)</f>
        <v>94.5</v>
      </c>
      <c r="U44" s="51">
        <v>16.420000000000002</v>
      </c>
      <c r="V44" s="51">
        <v>16.47</v>
      </c>
      <c r="W44" s="46">
        <f>AVERAGE(U44:V44)</f>
        <v>16.445</v>
      </c>
      <c r="X44" s="46"/>
      <c r="Y44" s="46"/>
      <c r="Z44" s="46"/>
      <c r="AA44" s="46"/>
      <c r="AB44" s="46"/>
      <c r="AC44" s="46"/>
      <c r="AD44" s="51">
        <v>1.59</v>
      </c>
      <c r="AE44" s="51">
        <v>1.55</v>
      </c>
      <c r="AF44" s="46">
        <f t="shared" si="8"/>
        <v>1.57</v>
      </c>
      <c r="AG44" s="51">
        <v>1.7</v>
      </c>
      <c r="AH44" s="51">
        <v>1.64</v>
      </c>
      <c r="AI44" s="46">
        <f t="shared" si="9"/>
        <v>1.67</v>
      </c>
      <c r="AJ44" s="51">
        <v>93.6</v>
      </c>
      <c r="AK44" s="51">
        <v>94.8</v>
      </c>
      <c r="AL44" s="46">
        <f t="shared" si="10"/>
        <v>94.199999999999989</v>
      </c>
      <c r="AM44" s="51">
        <v>15.74</v>
      </c>
      <c r="AN44" s="51">
        <v>15.98</v>
      </c>
      <c r="AO44" s="46">
        <f t="shared" si="11"/>
        <v>15.86</v>
      </c>
      <c r="AP44" s="46"/>
      <c r="AQ44" s="46"/>
      <c r="AR44" s="46"/>
      <c r="AS44" s="46"/>
      <c r="AT44" s="46"/>
      <c r="AU44" s="51"/>
      <c r="AV44" s="51" t="str">
        <f t="shared" si="12"/>
        <v>PN31</v>
      </c>
      <c r="AW44" s="46">
        <f t="shared" si="13"/>
        <v>12.431250000001455</v>
      </c>
      <c r="AX44" s="89">
        <v>0</v>
      </c>
      <c r="AY44" s="5"/>
      <c r="AZ44" s="58">
        <v>4</v>
      </c>
      <c r="BA44" s="58">
        <v>1300</v>
      </c>
      <c r="BB44" s="58">
        <v>647413503.88917148</v>
      </c>
      <c r="BC44" s="58"/>
      <c r="BD44" s="58"/>
      <c r="BE44" s="1"/>
      <c r="BF44" s="5"/>
      <c r="BG44" s="5"/>
      <c r="BH44" s="5"/>
      <c r="BI44" s="5"/>
      <c r="BJ44" s="46"/>
      <c r="BK44" s="58"/>
      <c r="BL44" s="60"/>
      <c r="BM44" s="58"/>
      <c r="BN44" s="46"/>
      <c r="BO44" s="58"/>
      <c r="BP44" s="60"/>
    </row>
    <row r="45" spans="1:68" ht="14.25" customHeight="1" x14ac:dyDescent="0.15">
      <c r="A45" s="51" t="s">
        <v>91</v>
      </c>
      <c r="B45" s="65">
        <v>43670.349305555559</v>
      </c>
      <c r="C45" s="51">
        <f t="shared" si="14"/>
        <v>397.48333333345363</v>
      </c>
      <c r="D45" s="51">
        <f t="shared" si="2"/>
        <v>16.561805555560568</v>
      </c>
      <c r="E45" s="46">
        <f t="shared" si="15"/>
        <v>311.35000000015134</v>
      </c>
      <c r="F45" s="51">
        <f t="shared" si="0"/>
        <v>12.972916666672972</v>
      </c>
      <c r="G45" s="51">
        <v>7.46</v>
      </c>
      <c r="H45" s="51">
        <v>7.56</v>
      </c>
      <c r="I45" s="46">
        <v>145.94999999999999</v>
      </c>
      <c r="J45" s="46">
        <v>132.1</v>
      </c>
      <c r="K45" s="51">
        <v>2.68</v>
      </c>
      <c r="L45" s="51">
        <v>2.62</v>
      </c>
      <c r="M45" s="51">
        <f t="shared" si="4"/>
        <v>2.6500000000000004</v>
      </c>
      <c r="N45" s="51">
        <v>2.86</v>
      </c>
      <c r="O45" s="51">
        <v>2.77</v>
      </c>
      <c r="P45" s="46">
        <f t="shared" si="16"/>
        <v>2.8149999999999999</v>
      </c>
      <c r="Q45" s="66">
        <f t="shared" si="1"/>
        <v>8.5899757576993214E-3</v>
      </c>
      <c r="R45" s="46">
        <v>93.8</v>
      </c>
      <c r="S45" s="46">
        <v>94.6</v>
      </c>
      <c r="T45" s="51">
        <f t="shared" si="6"/>
        <v>94.199999999999989</v>
      </c>
      <c r="U45" s="51">
        <v>16.399999999999999</v>
      </c>
      <c r="V45" s="51">
        <v>16.579999999999998</v>
      </c>
      <c r="W45" s="46">
        <f t="shared" si="7"/>
        <v>16.489999999999998</v>
      </c>
      <c r="X45" s="46"/>
      <c r="Y45" s="46"/>
      <c r="Z45" s="46"/>
      <c r="AA45" s="46"/>
      <c r="AB45" s="46"/>
      <c r="AC45" s="46"/>
      <c r="AD45" s="51">
        <v>1.96</v>
      </c>
      <c r="AE45" s="51">
        <v>1.95</v>
      </c>
      <c r="AF45" s="51">
        <f t="shared" si="8"/>
        <v>1.9550000000000001</v>
      </c>
      <c r="AG45" s="51">
        <v>2.1</v>
      </c>
      <c r="AH45" s="51">
        <v>2.08</v>
      </c>
      <c r="AI45" s="46">
        <f t="shared" si="9"/>
        <v>2.09</v>
      </c>
      <c r="AJ45" s="51">
        <v>93.3</v>
      </c>
      <c r="AK45" s="51">
        <v>93.8</v>
      </c>
      <c r="AL45" s="51">
        <f t="shared" si="10"/>
        <v>93.55</v>
      </c>
      <c r="AM45" s="51">
        <v>15.65</v>
      </c>
      <c r="AN45" s="51">
        <v>15.82</v>
      </c>
      <c r="AO45" s="46">
        <f t="shared" si="11"/>
        <v>15.734999999999999</v>
      </c>
      <c r="AP45" s="46"/>
      <c r="AQ45" s="46"/>
      <c r="AR45" s="46"/>
      <c r="AS45" s="46"/>
      <c r="AT45" s="46"/>
      <c r="AU45" s="51"/>
      <c r="AV45" s="51" t="str">
        <f t="shared" si="12"/>
        <v>PN32</v>
      </c>
      <c r="AW45" s="46">
        <f t="shared" si="13"/>
        <v>12.972916666672972</v>
      </c>
      <c r="AX45" s="89">
        <v>0</v>
      </c>
      <c r="AY45" s="5"/>
      <c r="AZ45" s="58">
        <v>20000</v>
      </c>
      <c r="BA45" s="58">
        <v>32000</v>
      </c>
      <c r="BB45" s="58">
        <v>279077668.7529217</v>
      </c>
      <c r="BC45" s="58"/>
      <c r="BD45" s="58"/>
      <c r="BE45" s="5"/>
      <c r="BF45" s="86"/>
      <c r="BG45" s="86"/>
      <c r="BH45" s="86"/>
      <c r="BI45" s="86"/>
      <c r="BJ45" s="46"/>
      <c r="BK45" s="83"/>
      <c r="BL45" s="87"/>
      <c r="BM45" s="83"/>
      <c r="BN45" s="46"/>
      <c r="BO45" s="83"/>
      <c r="BP45" s="87"/>
    </row>
    <row r="46" spans="1:68" ht="14.25" customHeight="1" x14ac:dyDescent="0.15">
      <c r="A46" s="51" t="s">
        <v>92</v>
      </c>
      <c r="B46" s="65">
        <v>43670.877083333333</v>
      </c>
      <c r="C46" s="51">
        <f t="shared" si="14"/>
        <v>410.15000000002328</v>
      </c>
      <c r="D46" s="51">
        <f t="shared" si="2"/>
        <v>17.089583333334303</v>
      </c>
      <c r="E46" s="46">
        <f t="shared" si="15"/>
        <v>324.01666666672099</v>
      </c>
      <c r="F46" s="51">
        <f t="shared" si="0"/>
        <v>13.500694444446708</v>
      </c>
      <c r="G46" s="51"/>
      <c r="H46" s="51"/>
      <c r="I46" s="46">
        <v>145.58000000000001</v>
      </c>
      <c r="J46" s="46">
        <v>129.04</v>
      </c>
      <c r="K46" s="51">
        <v>2.52</v>
      </c>
      <c r="L46" s="51">
        <v>2.4900000000000002</v>
      </c>
      <c r="M46" s="51">
        <f t="shared" si="4"/>
        <v>2.5049999999999999</v>
      </c>
      <c r="N46" s="51">
        <v>2.7</v>
      </c>
      <c r="O46" s="51">
        <v>2.63</v>
      </c>
      <c r="P46" s="46">
        <f t="shared" si="16"/>
        <v>2.665</v>
      </c>
      <c r="Q46" s="66">
        <f t="shared" si="1"/>
        <v>-4.442439904873724E-3</v>
      </c>
      <c r="R46" s="46">
        <v>93.4</v>
      </c>
      <c r="S46" s="46">
        <v>94.8</v>
      </c>
      <c r="T46" s="46">
        <f t="shared" si="6"/>
        <v>94.1</v>
      </c>
      <c r="U46" s="46">
        <v>16.55</v>
      </c>
      <c r="V46" s="46">
        <v>16.63</v>
      </c>
      <c r="W46" s="46">
        <f t="shared" si="7"/>
        <v>16.59</v>
      </c>
      <c r="X46" s="46"/>
      <c r="Y46" s="46"/>
      <c r="Z46" s="46"/>
      <c r="AA46" s="46"/>
      <c r="AB46" s="46"/>
      <c r="AC46" s="46"/>
      <c r="AD46" s="46">
        <v>1.99</v>
      </c>
      <c r="AE46" s="46">
        <v>1.92</v>
      </c>
      <c r="AF46" s="46">
        <f t="shared" si="8"/>
        <v>1.9550000000000001</v>
      </c>
      <c r="AG46" s="46">
        <v>2.19</v>
      </c>
      <c r="AH46" s="46">
        <v>2.11</v>
      </c>
      <c r="AI46" s="46">
        <f t="shared" si="9"/>
        <v>2.15</v>
      </c>
      <c r="AJ46" s="46">
        <v>91.2</v>
      </c>
      <c r="AK46" s="46">
        <v>90.8</v>
      </c>
      <c r="AL46" s="46">
        <f t="shared" si="10"/>
        <v>91</v>
      </c>
      <c r="AM46" s="46">
        <v>14.8</v>
      </c>
      <c r="AN46" s="46">
        <v>14.7</v>
      </c>
      <c r="AO46" s="46">
        <f t="shared" si="11"/>
        <v>14.75</v>
      </c>
      <c r="AP46" s="46"/>
      <c r="AQ46" s="46"/>
      <c r="AR46" s="46"/>
      <c r="AS46" s="46"/>
      <c r="AT46" s="46"/>
      <c r="AU46" s="51"/>
      <c r="AV46" s="51" t="str">
        <f t="shared" si="12"/>
        <v>PN33</v>
      </c>
      <c r="AW46" s="46">
        <f t="shared" si="13"/>
        <v>13.500694444446708</v>
      </c>
      <c r="AX46" s="89">
        <v>2.7455866884518523</v>
      </c>
      <c r="AY46" s="5"/>
      <c r="AZ46" s="58">
        <v>98000000</v>
      </c>
      <c r="BA46" s="58">
        <v>180000000</v>
      </c>
      <c r="BB46" s="58">
        <v>24617525898.371544</v>
      </c>
      <c r="BC46" s="58"/>
      <c r="BD46" s="58"/>
      <c r="BE46" s="1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ht="14.25" customHeight="1" x14ac:dyDescent="0.15">
      <c r="A47" s="51" t="s">
        <v>94</v>
      </c>
      <c r="B47" s="65">
        <v>43671.363888888889</v>
      </c>
      <c r="C47" s="51">
        <f t="shared" si="14"/>
        <v>421.83333333337214</v>
      </c>
      <c r="D47" s="51">
        <f t="shared" si="2"/>
        <v>17.576388888890506</v>
      </c>
      <c r="E47" s="46">
        <f t="shared" si="15"/>
        <v>335.70000000006985</v>
      </c>
      <c r="F47" s="51">
        <f t="shared" si="0"/>
        <v>13.98750000000291</v>
      </c>
      <c r="G47" s="51">
        <v>7.48</v>
      </c>
      <c r="H47" s="51">
        <v>7.49</v>
      </c>
      <c r="I47" s="46">
        <v>145.77000000000001</v>
      </c>
      <c r="J47" s="46">
        <v>131.63</v>
      </c>
      <c r="K47" s="51">
        <v>2.23</v>
      </c>
      <c r="L47" s="51">
        <v>2.2599999999999998</v>
      </c>
      <c r="M47" s="51">
        <f t="shared" si="4"/>
        <v>2.2450000000000001</v>
      </c>
      <c r="N47" s="51">
        <v>2.36</v>
      </c>
      <c r="O47" s="51">
        <v>2.4300000000000002</v>
      </c>
      <c r="P47" s="46">
        <f t="shared" si="16"/>
        <v>2.395</v>
      </c>
      <c r="Q47" s="66">
        <f t="shared" si="1"/>
        <v>-9.3794476470012728E-3</v>
      </c>
      <c r="R47" s="46">
        <v>94.4</v>
      </c>
      <c r="S47" s="46">
        <v>93.2</v>
      </c>
      <c r="T47" s="46">
        <f t="shared" ref="T47:T61" si="17">AVERAGE(R47:S47)</f>
        <v>93.800000000000011</v>
      </c>
      <c r="U47" s="46">
        <v>16.54</v>
      </c>
      <c r="V47" s="46">
        <v>16.61</v>
      </c>
      <c r="W47" s="46">
        <f t="shared" ref="W47:W61" si="18">AVERAGE(U47:V47)</f>
        <v>16.574999999999999</v>
      </c>
      <c r="X47" s="46"/>
      <c r="Y47" s="46"/>
      <c r="Z47" s="46"/>
      <c r="AA47" s="46"/>
      <c r="AB47" s="46"/>
      <c r="AC47" s="46"/>
      <c r="AD47" s="46">
        <v>1.05</v>
      </c>
      <c r="AE47" s="46">
        <v>0.98</v>
      </c>
      <c r="AF47" s="46">
        <f t="shared" si="8"/>
        <v>1.0150000000000001</v>
      </c>
      <c r="AG47" s="46">
        <v>1.1000000000000001</v>
      </c>
      <c r="AH47" s="46">
        <v>1.04</v>
      </c>
      <c r="AI47" s="46">
        <f t="shared" si="9"/>
        <v>1.07</v>
      </c>
      <c r="AJ47" s="46">
        <v>95.2</v>
      </c>
      <c r="AK47" s="46">
        <v>94.7</v>
      </c>
      <c r="AL47" s="46">
        <f t="shared" si="10"/>
        <v>94.95</v>
      </c>
      <c r="AM47" s="46">
        <v>13.22</v>
      </c>
      <c r="AN47" s="46">
        <v>13.19</v>
      </c>
      <c r="AO47" s="46">
        <f t="shared" si="11"/>
        <v>13.205</v>
      </c>
      <c r="AP47" s="46"/>
      <c r="AQ47" s="46"/>
      <c r="AR47" s="46"/>
      <c r="AS47" s="46"/>
      <c r="AT47" s="46"/>
      <c r="AU47" s="51"/>
      <c r="AV47" s="51" t="str">
        <f t="shared" si="12"/>
        <v>PN34</v>
      </c>
      <c r="AW47" s="46">
        <f t="shared" si="13"/>
        <v>13.98750000000291</v>
      </c>
      <c r="AX47" s="89">
        <v>2.7404587317710005</v>
      </c>
      <c r="AY47" s="5"/>
      <c r="AZ47" s="58">
        <v>2000000</v>
      </c>
      <c r="BA47" s="58">
        <v>4300000</v>
      </c>
      <c r="BB47" s="58">
        <v>18684130444.242256</v>
      </c>
      <c r="BC47" s="58"/>
      <c r="BD47" s="58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ht="14.25" customHeight="1" x14ac:dyDescent="0.15">
      <c r="A48" s="51" t="s">
        <v>95</v>
      </c>
      <c r="B48" s="65">
        <v>43671.811805555553</v>
      </c>
      <c r="C48" s="51">
        <f t="shared" si="14"/>
        <v>432.58333333331393</v>
      </c>
      <c r="D48" s="51">
        <f t="shared" si="2"/>
        <v>18.024305555554747</v>
      </c>
      <c r="E48" s="46">
        <f t="shared" si="15"/>
        <v>346.45000000001164</v>
      </c>
      <c r="F48" s="51">
        <f t="shared" si="0"/>
        <v>14.435416666667152</v>
      </c>
      <c r="G48" s="51"/>
      <c r="H48" s="51"/>
      <c r="I48" s="46">
        <v>145.49</v>
      </c>
      <c r="J48" s="46">
        <v>130.52000000000001</v>
      </c>
      <c r="K48" s="51">
        <v>2.1800000000000002</v>
      </c>
      <c r="L48" s="51">
        <v>2.14</v>
      </c>
      <c r="M48" s="51">
        <f t="shared" si="4"/>
        <v>2.16</v>
      </c>
      <c r="N48" s="51">
        <v>2.35</v>
      </c>
      <c r="O48" s="51">
        <v>2.31</v>
      </c>
      <c r="P48" s="46">
        <f t="shared" si="16"/>
        <v>2.33</v>
      </c>
      <c r="Q48" s="66">
        <f t="shared" si="1"/>
        <v>-3.5904464649630639E-3</v>
      </c>
      <c r="R48" s="46">
        <v>92.8</v>
      </c>
      <c r="S48" s="46">
        <v>92.6</v>
      </c>
      <c r="T48" s="46">
        <f t="shared" si="17"/>
        <v>92.699999999999989</v>
      </c>
      <c r="U48" s="46">
        <v>16.79</v>
      </c>
      <c r="V48" s="46">
        <v>16.88</v>
      </c>
      <c r="W48" s="46">
        <f t="shared" si="18"/>
        <v>16.835000000000001</v>
      </c>
      <c r="X48" s="46"/>
      <c r="Y48" s="46"/>
      <c r="Z48" s="46"/>
      <c r="AA48" s="46"/>
      <c r="AB48" s="46"/>
      <c r="AC48" s="46"/>
      <c r="AD48" s="46">
        <v>0.71</v>
      </c>
      <c r="AE48" s="46">
        <v>0.73</v>
      </c>
      <c r="AF48" s="46">
        <f t="shared" si="8"/>
        <v>0.72</v>
      </c>
      <c r="AG48" s="46">
        <v>0.78</v>
      </c>
      <c r="AH48" s="46">
        <v>0.8</v>
      </c>
      <c r="AI48" s="46">
        <f t="shared" si="9"/>
        <v>0.79</v>
      </c>
      <c r="AJ48" s="46">
        <v>90.8</v>
      </c>
      <c r="AK48" s="46">
        <v>92</v>
      </c>
      <c r="AL48" s="46">
        <f t="shared" si="10"/>
        <v>91.4</v>
      </c>
      <c r="AM48" s="46">
        <v>14.21</v>
      </c>
      <c r="AN48" s="46">
        <v>14.26</v>
      </c>
      <c r="AO48" s="46">
        <f t="shared" si="11"/>
        <v>14.234999999999999</v>
      </c>
      <c r="AP48" s="46"/>
      <c r="AQ48" s="46"/>
      <c r="AR48" s="46"/>
      <c r="AS48" s="46"/>
      <c r="AT48" s="46"/>
      <c r="AU48" s="51"/>
      <c r="AV48" s="51" t="str">
        <f t="shared" si="12"/>
        <v>PN35</v>
      </c>
      <c r="AW48" s="46">
        <f t="shared" si="13"/>
        <v>14.435416666667152</v>
      </c>
      <c r="AX48" s="89">
        <v>2.1123435064369138</v>
      </c>
      <c r="AY48" s="5"/>
      <c r="AZ48" s="58">
        <v>2800</v>
      </c>
      <c r="BA48" s="58">
        <v>1800000</v>
      </c>
      <c r="BB48" s="58">
        <v>7294933233.0366392</v>
      </c>
      <c r="BC48" s="58"/>
      <c r="BD48" s="58"/>
      <c r="BE48" s="1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ht="14.25" customHeight="1" x14ac:dyDescent="0.15">
      <c r="A49" s="51" t="s">
        <v>96</v>
      </c>
      <c r="B49" s="82">
        <v>43672.350694444445</v>
      </c>
      <c r="C49" s="51">
        <f t="shared" ref="C49:C55" si="19">(B49-B48)*24+C48</f>
        <v>445.51666666672099</v>
      </c>
      <c r="D49" s="51">
        <f t="shared" ref="D49:D55" si="20">C49/24</f>
        <v>18.563194444446708</v>
      </c>
      <c r="E49" s="1">
        <f t="shared" si="15"/>
        <v>359.3833333334187</v>
      </c>
      <c r="F49" s="1">
        <f t="shared" si="0"/>
        <v>14.974305555559113</v>
      </c>
      <c r="G49" s="1">
        <v>7.41</v>
      </c>
      <c r="H49" s="1">
        <v>7.46</v>
      </c>
      <c r="I49" s="1">
        <v>145.68</v>
      </c>
      <c r="J49" s="1">
        <v>132.59</v>
      </c>
      <c r="K49" s="1">
        <v>2.56</v>
      </c>
      <c r="L49" s="1">
        <v>2.59</v>
      </c>
      <c r="M49" s="1">
        <f t="shared" si="4"/>
        <v>2.5750000000000002</v>
      </c>
      <c r="N49" s="1">
        <v>2.76</v>
      </c>
      <c r="O49" s="1">
        <v>2.74</v>
      </c>
      <c r="P49" s="1">
        <f t="shared" si="16"/>
        <v>2.75</v>
      </c>
      <c r="Q49" s="66">
        <f t="shared" si="1"/>
        <v>1.3588245805563703E-2</v>
      </c>
      <c r="R49" s="1">
        <v>92.9</v>
      </c>
      <c r="S49" s="1">
        <v>94.5</v>
      </c>
      <c r="T49" s="1">
        <f t="shared" si="17"/>
        <v>93.7</v>
      </c>
      <c r="U49" s="1">
        <v>16.739999999999998</v>
      </c>
      <c r="V49" s="1">
        <v>16.670000000000002</v>
      </c>
      <c r="W49" s="1">
        <f t="shared" si="18"/>
        <v>16.704999999999998</v>
      </c>
      <c r="X49" s="1"/>
      <c r="Y49" s="1"/>
      <c r="Z49" s="1"/>
      <c r="AA49" s="1"/>
      <c r="AB49" s="1"/>
      <c r="AC49" s="1"/>
      <c r="AD49" s="1">
        <v>0.63</v>
      </c>
      <c r="AE49" s="1">
        <v>0.57999999999999996</v>
      </c>
      <c r="AF49" s="1">
        <f t="shared" si="8"/>
        <v>0.60499999999999998</v>
      </c>
      <c r="AG49" s="1">
        <v>0.71</v>
      </c>
      <c r="AH49" s="1">
        <v>0.64</v>
      </c>
      <c r="AI49" s="1">
        <f t="shared" si="9"/>
        <v>0.67500000000000004</v>
      </c>
      <c r="AJ49" s="1">
        <v>88.8</v>
      </c>
      <c r="AK49" s="1">
        <v>90</v>
      </c>
      <c r="AL49" s="1">
        <f t="shared" si="10"/>
        <v>89.4</v>
      </c>
      <c r="AM49" s="1">
        <v>13.66</v>
      </c>
      <c r="AN49" s="1">
        <v>13.65</v>
      </c>
      <c r="AO49" s="1">
        <f t="shared" si="11"/>
        <v>13.655000000000001</v>
      </c>
      <c r="AP49" s="1"/>
      <c r="AQ49" s="1"/>
      <c r="AR49" s="1"/>
      <c r="AS49" s="1"/>
      <c r="AT49" s="1"/>
      <c r="AU49" s="1"/>
      <c r="AV49" s="51" t="str">
        <f t="shared" si="12"/>
        <v>PN36</v>
      </c>
      <c r="AW49" s="46">
        <f t="shared" si="13"/>
        <v>14.974305555559113</v>
      </c>
      <c r="AX49" s="89">
        <v>1.8298738957113723</v>
      </c>
      <c r="AY49" s="1"/>
      <c r="AZ49" s="58">
        <v>360</v>
      </c>
      <c r="BA49" s="58">
        <v>760000</v>
      </c>
      <c r="BB49" s="58">
        <v>3363099885.0183973</v>
      </c>
      <c r="BC49" s="58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ht="14.25" customHeight="1" x14ac:dyDescent="0.15">
      <c r="A50" s="51" t="s">
        <v>97</v>
      </c>
      <c r="B50" s="82">
        <v>43672.824305555558</v>
      </c>
      <c r="C50" s="51">
        <f t="shared" si="19"/>
        <v>456.8833333334187</v>
      </c>
      <c r="D50" s="51">
        <f t="shared" si="20"/>
        <v>19.036805555559113</v>
      </c>
      <c r="E50" s="1">
        <f t="shared" si="15"/>
        <v>370.75000000011642</v>
      </c>
      <c r="F50" s="1">
        <f t="shared" si="0"/>
        <v>15.447916666671517</v>
      </c>
      <c r="G50" s="1"/>
      <c r="H50" s="1"/>
      <c r="I50" s="1">
        <v>145.84</v>
      </c>
      <c r="J50" s="1">
        <v>131.13</v>
      </c>
      <c r="K50" s="1">
        <v>2.8</v>
      </c>
      <c r="L50" s="1">
        <v>2.74</v>
      </c>
      <c r="M50" s="1">
        <f t="shared" si="4"/>
        <v>2.77</v>
      </c>
      <c r="N50" s="1">
        <v>2.99</v>
      </c>
      <c r="O50" s="1">
        <v>2.91</v>
      </c>
      <c r="P50" s="1">
        <f t="shared" si="16"/>
        <v>2.95</v>
      </c>
      <c r="Q50" s="66">
        <f t="shared" si="1"/>
        <v>6.4220926173033707E-3</v>
      </c>
      <c r="R50" s="1">
        <v>93.7</v>
      </c>
      <c r="S50" s="1">
        <v>93.9</v>
      </c>
      <c r="T50" s="1">
        <f t="shared" si="17"/>
        <v>93.800000000000011</v>
      </c>
      <c r="U50" s="1">
        <v>16.079999999999998</v>
      </c>
      <c r="V50" s="1">
        <v>16.04</v>
      </c>
      <c r="W50" s="1">
        <f t="shared" si="18"/>
        <v>16.059999999999999</v>
      </c>
      <c r="X50" s="1"/>
      <c r="Y50" s="1"/>
      <c r="Z50" s="1"/>
      <c r="AA50" s="1"/>
      <c r="AB50" s="1"/>
      <c r="AC50" s="1"/>
      <c r="AD50" s="1">
        <v>1.03</v>
      </c>
      <c r="AE50" s="1">
        <v>1.04</v>
      </c>
      <c r="AF50" s="1">
        <f t="shared" si="8"/>
        <v>1.0350000000000001</v>
      </c>
      <c r="AG50" s="1">
        <v>1.1100000000000001</v>
      </c>
      <c r="AH50" s="1">
        <v>1.1200000000000001</v>
      </c>
      <c r="AI50" s="1">
        <f t="shared" si="9"/>
        <v>1.1150000000000002</v>
      </c>
      <c r="AJ50" s="1">
        <v>92.4</v>
      </c>
      <c r="AK50" s="1">
        <v>92.5</v>
      </c>
      <c r="AL50" s="1">
        <f t="shared" si="10"/>
        <v>92.45</v>
      </c>
      <c r="AM50" s="1">
        <v>14.84</v>
      </c>
      <c r="AN50" s="1">
        <v>14.83</v>
      </c>
      <c r="AO50" s="1">
        <f t="shared" si="11"/>
        <v>14.835000000000001</v>
      </c>
      <c r="AP50" s="1"/>
      <c r="AQ50" s="1"/>
      <c r="AR50" s="1"/>
      <c r="AS50" s="1"/>
      <c r="AT50" s="1"/>
      <c r="AU50" s="1"/>
      <c r="AV50" s="51" t="str">
        <f t="shared" si="12"/>
        <v>PN37</v>
      </c>
      <c r="AW50" s="46">
        <f t="shared" si="13"/>
        <v>15.447916666671517</v>
      </c>
      <c r="AX50" s="89">
        <v>0</v>
      </c>
      <c r="AY50" s="1"/>
      <c r="AZ50" s="58">
        <v>8</v>
      </c>
      <c r="BA50" s="58">
        <v>56000</v>
      </c>
      <c r="BB50" s="58">
        <v>1290061860.1444962</v>
      </c>
      <c r="BC50" s="58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ht="14.25" customHeight="1" x14ac:dyDescent="0.15">
      <c r="A51" s="51" t="s">
        <v>98</v>
      </c>
      <c r="B51" s="82">
        <v>43673.388194444444</v>
      </c>
      <c r="C51" s="51">
        <f t="shared" si="19"/>
        <v>470.41666666668607</v>
      </c>
      <c r="D51" s="51">
        <f t="shared" si="20"/>
        <v>19.600694444445253</v>
      </c>
      <c r="E51" s="1">
        <f t="shared" si="15"/>
        <v>384.28333333338378</v>
      </c>
      <c r="F51" s="1">
        <f t="shared" si="0"/>
        <v>16.011805555557657</v>
      </c>
      <c r="G51" s="1">
        <v>7.46</v>
      </c>
      <c r="H51" s="1">
        <v>7.51</v>
      </c>
      <c r="I51" s="1">
        <v>145.71</v>
      </c>
      <c r="J51" s="1">
        <v>131.62</v>
      </c>
      <c r="K51" s="1">
        <v>2.93</v>
      </c>
      <c r="L51" s="1">
        <v>2.91</v>
      </c>
      <c r="M51" s="1">
        <f t="shared" si="4"/>
        <v>2.92</v>
      </c>
      <c r="N51" s="1">
        <v>3.12</v>
      </c>
      <c r="O51" s="1">
        <v>3.11</v>
      </c>
      <c r="P51" s="1">
        <f t="shared" si="16"/>
        <v>3.1150000000000002</v>
      </c>
      <c r="Q51" s="66">
        <f t="shared" si="1"/>
        <v>3.8967706463941092E-3</v>
      </c>
      <c r="R51" s="1">
        <v>93.9</v>
      </c>
      <c r="S51" s="1">
        <v>93.6</v>
      </c>
      <c r="T51" s="1">
        <f t="shared" si="17"/>
        <v>93.75</v>
      </c>
      <c r="U51" s="1">
        <v>16.12</v>
      </c>
      <c r="V51" s="1">
        <v>16.059999999999999</v>
      </c>
      <c r="W51" s="1">
        <f t="shared" si="18"/>
        <v>16.09</v>
      </c>
      <c r="X51" s="1"/>
      <c r="Y51" s="1"/>
      <c r="Z51" s="1"/>
      <c r="AA51" s="1"/>
      <c r="AB51" s="1"/>
      <c r="AC51" s="1"/>
      <c r="AD51" s="1">
        <v>1.39</v>
      </c>
      <c r="AE51" s="1">
        <v>1.44</v>
      </c>
      <c r="AF51" s="1">
        <f t="shared" si="8"/>
        <v>1.415</v>
      </c>
      <c r="AG51" s="1">
        <v>1.49</v>
      </c>
      <c r="AH51" s="1">
        <v>1.53</v>
      </c>
      <c r="AI51" s="1">
        <f t="shared" si="9"/>
        <v>1.51</v>
      </c>
      <c r="AJ51" s="1">
        <v>93.4</v>
      </c>
      <c r="AK51" s="1">
        <v>94.2</v>
      </c>
      <c r="AL51" s="1">
        <f t="shared" si="10"/>
        <v>93.800000000000011</v>
      </c>
      <c r="AM51" s="1">
        <v>15.09</v>
      </c>
      <c r="AN51" s="1">
        <v>15.11</v>
      </c>
      <c r="AO51" s="1">
        <f t="shared" si="11"/>
        <v>15.1</v>
      </c>
      <c r="AP51" s="1"/>
      <c r="AQ51" s="1"/>
      <c r="AR51" s="1"/>
      <c r="AS51" s="1"/>
      <c r="AT51" s="1"/>
      <c r="AU51" s="1"/>
      <c r="AV51" s="51" t="str">
        <f t="shared" si="12"/>
        <v>PN38</v>
      </c>
      <c r="AW51" s="46">
        <f t="shared" si="13"/>
        <v>16.011805555557657</v>
      </c>
      <c r="AX51" s="89">
        <v>0</v>
      </c>
      <c r="AY51" s="1"/>
      <c r="AZ51" s="58">
        <v>4</v>
      </c>
      <c r="BA51" s="58">
        <v>3200</v>
      </c>
      <c r="BB51" s="58">
        <v>479359695.1066615</v>
      </c>
      <c r="BC51" s="58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ht="14.25" customHeight="1" x14ac:dyDescent="0.15">
      <c r="A52" s="51" t="s">
        <v>99</v>
      </c>
      <c r="B52" s="82">
        <v>43673.85833333333</v>
      </c>
      <c r="C52" s="51">
        <f t="shared" si="19"/>
        <v>481.69999999995343</v>
      </c>
      <c r="D52" s="51">
        <f t="shared" si="20"/>
        <v>20.070833333331393</v>
      </c>
      <c r="E52" s="1">
        <f t="shared" si="15"/>
        <v>395.56666666665114</v>
      </c>
      <c r="F52" s="1">
        <f t="shared" si="0"/>
        <v>16.481944444443798</v>
      </c>
      <c r="G52" s="1"/>
      <c r="H52" s="1"/>
      <c r="I52" s="1">
        <v>145.80000000000001</v>
      </c>
      <c r="J52" s="1">
        <v>132.35</v>
      </c>
      <c r="K52" s="1">
        <v>2.63</v>
      </c>
      <c r="L52" s="1">
        <v>2.61</v>
      </c>
      <c r="M52" s="1">
        <f t="shared" si="4"/>
        <v>2.62</v>
      </c>
      <c r="N52" s="1">
        <v>2.83</v>
      </c>
      <c r="O52" s="1">
        <v>2.78</v>
      </c>
      <c r="P52" s="1">
        <f t="shared" si="16"/>
        <v>2.8049999999999997</v>
      </c>
      <c r="Q52" s="66">
        <f t="shared" si="1"/>
        <v>-9.607914195670782E-3</v>
      </c>
      <c r="R52" s="1">
        <v>93.2</v>
      </c>
      <c r="S52" s="1">
        <v>93.8</v>
      </c>
      <c r="T52" s="1">
        <f t="shared" si="17"/>
        <v>93.5</v>
      </c>
      <c r="U52" s="1">
        <v>16.02</v>
      </c>
      <c r="V52" s="1">
        <v>16.010000000000002</v>
      </c>
      <c r="W52" s="1">
        <f t="shared" si="18"/>
        <v>16.015000000000001</v>
      </c>
      <c r="X52" s="1"/>
      <c r="Y52" s="1"/>
      <c r="Z52" s="1"/>
      <c r="AA52" s="1"/>
      <c r="AB52" s="1"/>
      <c r="AC52" s="1"/>
      <c r="AD52" s="1">
        <v>2.38</v>
      </c>
      <c r="AE52" s="1">
        <v>2.2000000000000002</v>
      </c>
      <c r="AF52" s="1">
        <f t="shared" si="8"/>
        <v>2.29</v>
      </c>
      <c r="AG52" s="1">
        <v>2.5099999999999998</v>
      </c>
      <c r="AH52" s="1">
        <v>2.31</v>
      </c>
      <c r="AI52" s="1">
        <f t="shared" si="9"/>
        <v>2.41</v>
      </c>
      <c r="AJ52" s="1">
        <v>95</v>
      </c>
      <c r="AK52" s="1">
        <v>95.4</v>
      </c>
      <c r="AL52" s="1">
        <f t="shared" si="10"/>
        <v>95.2</v>
      </c>
      <c r="AM52" s="1">
        <v>15.29</v>
      </c>
      <c r="AN52" s="1">
        <v>15.49</v>
      </c>
      <c r="AO52" s="1">
        <f t="shared" si="11"/>
        <v>15.39</v>
      </c>
      <c r="AP52" s="1"/>
      <c r="AQ52" s="1"/>
      <c r="AR52" s="1"/>
      <c r="AS52" s="1"/>
      <c r="AT52" s="1"/>
      <c r="AU52" s="1"/>
      <c r="AV52" s="51" t="str">
        <f t="shared" si="12"/>
        <v>PN39</v>
      </c>
      <c r="AW52" s="46">
        <f t="shared" si="13"/>
        <v>16.481944444443798</v>
      </c>
      <c r="AX52" s="89">
        <v>0</v>
      </c>
      <c r="AY52" s="1"/>
      <c r="AZ52" s="58">
        <v>8</v>
      </c>
      <c r="BA52" s="58">
        <v>430</v>
      </c>
      <c r="BB52" s="58">
        <v>142552213.59218314</v>
      </c>
      <c r="BC52" s="58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ht="14.25" customHeight="1" x14ac:dyDescent="0.15">
      <c r="A53" s="51" t="s">
        <v>100</v>
      </c>
      <c r="B53" s="82">
        <v>43674.341666666667</v>
      </c>
      <c r="C53" s="51">
        <f t="shared" si="19"/>
        <v>493.30000000004657</v>
      </c>
      <c r="D53" s="51">
        <f t="shared" si="20"/>
        <v>20.554166666668607</v>
      </c>
      <c r="E53" s="1">
        <f t="shared" si="15"/>
        <v>407.16666666674428</v>
      </c>
      <c r="F53" s="1">
        <f t="shared" si="0"/>
        <v>16.965277777781012</v>
      </c>
      <c r="G53" s="1">
        <v>7.46</v>
      </c>
      <c r="H53" s="1">
        <v>7.55</v>
      </c>
      <c r="I53" s="1">
        <v>145.16</v>
      </c>
      <c r="J53" s="1">
        <v>132.51</v>
      </c>
      <c r="K53" s="1">
        <v>2.71</v>
      </c>
      <c r="L53" s="1">
        <v>2.63</v>
      </c>
      <c r="M53" s="1">
        <f t="shared" si="4"/>
        <v>2.67</v>
      </c>
      <c r="N53" s="1">
        <v>2.9</v>
      </c>
      <c r="O53" s="1">
        <v>2.82</v>
      </c>
      <c r="P53" s="1">
        <f t="shared" si="16"/>
        <v>2.86</v>
      </c>
      <c r="Q53" s="66">
        <f t="shared" si="1"/>
        <v>1.6296685033621425E-3</v>
      </c>
      <c r="R53" s="1">
        <v>93.6</v>
      </c>
      <c r="S53" s="1">
        <v>93.2</v>
      </c>
      <c r="T53" s="1">
        <f t="shared" si="17"/>
        <v>93.4</v>
      </c>
      <c r="U53" s="1">
        <v>16.02</v>
      </c>
      <c r="V53" s="1">
        <v>16.010000000000002</v>
      </c>
      <c r="W53" s="1">
        <f t="shared" si="18"/>
        <v>16.015000000000001</v>
      </c>
      <c r="X53" s="1"/>
      <c r="Y53" s="1"/>
      <c r="Z53" s="1"/>
      <c r="AA53" s="1"/>
      <c r="AB53" s="1"/>
      <c r="AC53" s="1"/>
      <c r="AD53" s="1">
        <v>2.62</v>
      </c>
      <c r="AE53" s="1">
        <v>2.77</v>
      </c>
      <c r="AF53" s="1">
        <f t="shared" si="8"/>
        <v>2.6950000000000003</v>
      </c>
      <c r="AG53" s="1">
        <v>2.76</v>
      </c>
      <c r="AH53" s="1">
        <v>2.91</v>
      </c>
      <c r="AI53" s="1">
        <f t="shared" si="9"/>
        <v>2.835</v>
      </c>
      <c r="AJ53" s="1">
        <v>94.7</v>
      </c>
      <c r="AK53" s="1">
        <v>95.1</v>
      </c>
      <c r="AL53" s="1">
        <f t="shared" si="10"/>
        <v>94.9</v>
      </c>
      <c r="AM53" s="1">
        <v>15.24</v>
      </c>
      <c r="AN53" s="1">
        <v>15.42</v>
      </c>
      <c r="AO53" s="1">
        <f t="shared" si="11"/>
        <v>15.33</v>
      </c>
      <c r="AP53" s="1"/>
      <c r="AQ53" s="1"/>
      <c r="AR53" s="1"/>
      <c r="AS53" s="1"/>
      <c r="AT53" s="1"/>
      <c r="AU53" s="1"/>
      <c r="AV53" s="51" t="str">
        <f t="shared" si="12"/>
        <v>PN40</v>
      </c>
      <c r="AW53" s="46">
        <f t="shared" si="13"/>
        <v>16.965277777781012</v>
      </c>
      <c r="AX53" s="89">
        <v>0</v>
      </c>
      <c r="AY53" s="1"/>
      <c r="AZ53" s="58">
        <v>240000</v>
      </c>
      <c r="BA53" s="90">
        <v>560000</v>
      </c>
      <c r="BB53" s="58">
        <v>83286204.084168479</v>
      </c>
      <c r="BC53" s="58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ht="14.25" customHeight="1" x14ac:dyDescent="0.15">
      <c r="A54" s="51" t="s">
        <v>101</v>
      </c>
      <c r="B54" s="82">
        <v>43674.823611111111</v>
      </c>
      <c r="C54" s="51">
        <f t="shared" si="19"/>
        <v>504.86666666669771</v>
      </c>
      <c r="D54" s="51">
        <f t="shared" si="20"/>
        <v>21.036111111112405</v>
      </c>
      <c r="E54" s="1">
        <f t="shared" si="15"/>
        <v>418.73333333339542</v>
      </c>
      <c r="F54" s="1">
        <f t="shared" si="0"/>
        <v>17.447222222224809</v>
      </c>
      <c r="G54" s="1"/>
      <c r="H54" s="1"/>
      <c r="I54" s="1">
        <v>145</v>
      </c>
      <c r="J54" s="1">
        <v>133.03</v>
      </c>
      <c r="K54" s="1">
        <v>2.5</v>
      </c>
      <c r="L54" s="1">
        <v>2.5299999999999998</v>
      </c>
      <c r="M54" s="1">
        <f t="shared" si="4"/>
        <v>2.5149999999999997</v>
      </c>
      <c r="N54" s="1">
        <v>2.65</v>
      </c>
      <c r="O54" s="1">
        <v>2.76</v>
      </c>
      <c r="P54" s="1">
        <f t="shared" si="16"/>
        <v>2.7050000000000001</v>
      </c>
      <c r="Q54" s="66">
        <f t="shared" si="1"/>
        <v>-5.1705189216601777E-3</v>
      </c>
      <c r="R54" s="1">
        <v>94.3</v>
      </c>
      <c r="S54" s="1">
        <v>92.8</v>
      </c>
      <c r="T54" s="1">
        <f t="shared" si="17"/>
        <v>93.55</v>
      </c>
      <c r="U54" s="1">
        <v>16.12</v>
      </c>
      <c r="V54" s="1">
        <v>16.09</v>
      </c>
      <c r="W54" s="1">
        <f t="shared" si="18"/>
        <v>16.105</v>
      </c>
      <c r="X54" s="1"/>
      <c r="Y54" s="1"/>
      <c r="Z54" s="1"/>
      <c r="AA54" s="1"/>
      <c r="AB54" s="1"/>
      <c r="AC54" s="1"/>
      <c r="AD54" s="1">
        <v>1.74</v>
      </c>
      <c r="AE54" s="1">
        <v>1.77</v>
      </c>
      <c r="AF54" s="1">
        <f t="shared" si="8"/>
        <v>1.7549999999999999</v>
      </c>
      <c r="AG54" s="1">
        <v>1.86</v>
      </c>
      <c r="AH54" s="1">
        <v>1.88</v>
      </c>
      <c r="AI54" s="1">
        <f t="shared" si="9"/>
        <v>1.87</v>
      </c>
      <c r="AJ54" s="1">
        <v>93.5</v>
      </c>
      <c r="AK54" s="1">
        <v>93.8</v>
      </c>
      <c r="AL54" s="1">
        <f t="shared" si="10"/>
        <v>93.65</v>
      </c>
      <c r="AM54" s="1">
        <v>13.65</v>
      </c>
      <c r="AN54" s="1">
        <v>13.62</v>
      </c>
      <c r="AO54" s="1">
        <f t="shared" si="11"/>
        <v>13.635</v>
      </c>
      <c r="AP54" s="1"/>
      <c r="AQ54" s="1"/>
      <c r="AR54" s="1"/>
      <c r="AS54" s="1"/>
      <c r="AT54" s="1"/>
      <c r="AU54" s="1"/>
      <c r="AV54" s="51" t="str">
        <f t="shared" si="12"/>
        <v>PN41</v>
      </c>
      <c r="AW54" s="46">
        <f t="shared" si="13"/>
        <v>17.447222222224809</v>
      </c>
      <c r="AX54" s="89">
        <v>2.6111219628700209</v>
      </c>
      <c r="AY54" s="83"/>
      <c r="AZ54" s="58">
        <v>56000000</v>
      </c>
      <c r="BA54" s="58">
        <v>180000000</v>
      </c>
      <c r="BB54" s="58">
        <v>42886732727.239349</v>
      </c>
      <c r="BC54" s="58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ht="14.25" customHeight="1" x14ac:dyDescent="0.15">
      <c r="A55" s="51" t="s">
        <v>102</v>
      </c>
      <c r="B55" s="82">
        <v>43675.377083333333</v>
      </c>
      <c r="C55" s="51">
        <f t="shared" si="19"/>
        <v>518.15000000002328</v>
      </c>
      <c r="D55" s="51">
        <f t="shared" si="20"/>
        <v>21.589583333334303</v>
      </c>
      <c r="E55" s="1">
        <f t="shared" si="15"/>
        <v>432.01666666672099</v>
      </c>
      <c r="F55" s="1">
        <f t="shared" si="0"/>
        <v>18.000694444446708</v>
      </c>
      <c r="G55" s="1">
        <v>7.52</v>
      </c>
      <c r="H55" s="1">
        <v>7.61</v>
      </c>
      <c r="I55" s="1">
        <v>145.54</v>
      </c>
      <c r="J55" s="1">
        <v>131.93</v>
      </c>
      <c r="K55" s="1">
        <v>2.9</v>
      </c>
      <c r="L55" s="1">
        <v>2.81</v>
      </c>
      <c r="M55" s="1">
        <f t="shared" si="4"/>
        <v>2.855</v>
      </c>
      <c r="N55" s="1">
        <v>3.1</v>
      </c>
      <c r="O55" s="1">
        <v>2.98</v>
      </c>
      <c r="P55" s="1">
        <f t="shared" si="16"/>
        <v>3.04</v>
      </c>
      <c r="Q55" s="66">
        <f t="shared" si="1"/>
        <v>9.5457244333509578E-3</v>
      </c>
      <c r="R55" s="1">
        <v>93.8</v>
      </c>
      <c r="S55" s="1">
        <v>94.1</v>
      </c>
      <c r="T55" s="1">
        <f t="shared" si="17"/>
        <v>93.949999999999989</v>
      </c>
      <c r="U55" s="1">
        <v>15.91</v>
      </c>
      <c r="V55" s="1">
        <v>15.95</v>
      </c>
      <c r="W55" s="1">
        <f t="shared" si="18"/>
        <v>15.93</v>
      </c>
      <c r="X55" s="1"/>
      <c r="Y55" s="1"/>
      <c r="Z55" s="1"/>
      <c r="AA55" s="1"/>
      <c r="AB55" s="1"/>
      <c r="AC55" s="1"/>
      <c r="AD55" s="1">
        <v>0.71</v>
      </c>
      <c r="AE55" s="1">
        <v>0.64</v>
      </c>
      <c r="AF55" s="1">
        <f t="shared" si="8"/>
        <v>0.67500000000000004</v>
      </c>
      <c r="AG55" s="1">
        <v>0.76</v>
      </c>
      <c r="AH55" s="1">
        <v>0.67</v>
      </c>
      <c r="AI55" s="1">
        <f t="shared" si="9"/>
        <v>0.71500000000000008</v>
      </c>
      <c r="AJ55" s="1">
        <v>93.3</v>
      </c>
      <c r="AK55" s="1">
        <v>94.4</v>
      </c>
      <c r="AL55" s="1">
        <f t="shared" si="10"/>
        <v>93.85</v>
      </c>
      <c r="AM55" s="1">
        <v>12.61</v>
      </c>
      <c r="AN55" s="1">
        <v>12.7</v>
      </c>
      <c r="AO55" s="1">
        <f t="shared" si="11"/>
        <v>12.654999999999999</v>
      </c>
      <c r="AP55" s="1"/>
      <c r="AQ55" s="1"/>
      <c r="AR55" s="1"/>
      <c r="AS55" s="1"/>
      <c r="AT55" s="1"/>
      <c r="AU55" s="1"/>
      <c r="AV55" s="51" t="str">
        <f t="shared" si="12"/>
        <v>PN42</v>
      </c>
      <c r="AW55" s="46">
        <f t="shared" si="13"/>
        <v>18.000694444446708</v>
      </c>
      <c r="AX55" s="89">
        <v>2.6344562536465874</v>
      </c>
      <c r="AY55" s="1"/>
      <c r="AZ55" s="58">
        <v>740000</v>
      </c>
      <c r="BA55" s="58">
        <v>7600000</v>
      </c>
      <c r="BB55" s="58">
        <v>22855894722.528561</v>
      </c>
      <c r="BC55" s="58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ht="14.25" customHeight="1" x14ac:dyDescent="0.15">
      <c r="A56" s="51" t="s">
        <v>103</v>
      </c>
      <c r="B56" s="82">
        <v>43675.824305555558</v>
      </c>
      <c r="C56" s="51">
        <f t="shared" ref="C56:C57" si="21">(B56-B55)*24+C55</f>
        <v>528.8833333334187</v>
      </c>
      <c r="D56" s="51">
        <f t="shared" ref="D56:D57" si="22">C56/24</f>
        <v>22.036805555559113</v>
      </c>
      <c r="E56" s="1">
        <f t="shared" si="15"/>
        <v>442.75000000011642</v>
      </c>
      <c r="F56" s="1">
        <f t="shared" si="0"/>
        <v>18.447916666671517</v>
      </c>
      <c r="G56" s="1"/>
      <c r="H56" s="1"/>
      <c r="I56" s="1">
        <v>145.76</v>
      </c>
      <c r="J56" s="1">
        <v>131.83000000000001</v>
      </c>
      <c r="K56" s="1">
        <v>2.63</v>
      </c>
      <c r="L56" s="1">
        <v>2.5499999999999998</v>
      </c>
      <c r="M56" s="1">
        <f t="shared" si="4"/>
        <v>2.59</v>
      </c>
      <c r="N56" s="1">
        <v>2.82</v>
      </c>
      <c r="O56" s="1">
        <v>2.72</v>
      </c>
      <c r="P56" s="1">
        <f t="shared" si="16"/>
        <v>2.77</v>
      </c>
      <c r="Q56" s="66">
        <f t="shared" si="1"/>
        <v>-9.075835471673635E-3</v>
      </c>
      <c r="R56" s="1">
        <v>93.4</v>
      </c>
      <c r="S56" s="1">
        <v>93.6</v>
      </c>
      <c r="T56" s="1">
        <f t="shared" si="17"/>
        <v>93.5</v>
      </c>
      <c r="U56" s="1">
        <v>15.95</v>
      </c>
      <c r="V56" s="1">
        <v>15.89</v>
      </c>
      <c r="W56" s="1">
        <f t="shared" si="18"/>
        <v>15.92</v>
      </c>
      <c r="X56" s="1"/>
      <c r="Y56" s="1"/>
      <c r="Z56" s="1"/>
      <c r="AA56" s="1"/>
      <c r="AB56" s="1"/>
      <c r="AC56" s="1"/>
      <c r="AD56" s="1">
        <v>1.07</v>
      </c>
      <c r="AE56" s="1">
        <v>1.05</v>
      </c>
      <c r="AF56" s="1">
        <f t="shared" si="8"/>
        <v>1.06</v>
      </c>
      <c r="AG56" s="1">
        <v>1.1399999999999999</v>
      </c>
      <c r="AH56" s="1">
        <v>1.1100000000000001</v>
      </c>
      <c r="AI56" s="1">
        <f t="shared" si="9"/>
        <v>1.125</v>
      </c>
      <c r="AJ56" s="1">
        <v>94.4</v>
      </c>
      <c r="AK56" s="1">
        <v>94.4</v>
      </c>
      <c r="AL56" s="1">
        <f t="shared" si="10"/>
        <v>94.4</v>
      </c>
      <c r="AM56" s="1">
        <v>13.73</v>
      </c>
      <c r="AN56" s="1">
        <v>13.78</v>
      </c>
      <c r="AO56" s="1">
        <f t="shared" si="11"/>
        <v>13.754999999999999</v>
      </c>
      <c r="AP56" s="1"/>
      <c r="AQ56" s="1"/>
      <c r="AR56" s="1"/>
      <c r="AS56" s="1"/>
      <c r="AT56" s="1"/>
      <c r="AU56" s="1"/>
      <c r="AV56" s="51" t="str">
        <f t="shared" si="12"/>
        <v>PN43</v>
      </c>
      <c r="AW56" s="46">
        <f t="shared" si="13"/>
        <v>18.447916666671517</v>
      </c>
      <c r="AX56" s="89">
        <v>1.7864895727749748</v>
      </c>
      <c r="AY56" s="1"/>
      <c r="AZ56" s="58">
        <v>2400</v>
      </c>
      <c r="BA56" s="58">
        <v>1000000</v>
      </c>
      <c r="BB56" s="58">
        <v>5195295190.3420792</v>
      </c>
      <c r="BC56" s="58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ht="14.25" customHeight="1" x14ac:dyDescent="0.15">
      <c r="A57" s="51" t="s">
        <v>104</v>
      </c>
      <c r="B57" s="82">
        <v>43676.357638888891</v>
      </c>
      <c r="C57" s="51">
        <f t="shared" si="21"/>
        <v>541.68333333340706</v>
      </c>
      <c r="D57" s="51">
        <f t="shared" si="22"/>
        <v>22.570138888891961</v>
      </c>
      <c r="E57" s="1">
        <f t="shared" si="15"/>
        <v>455.55000000010477</v>
      </c>
      <c r="F57" s="1">
        <f t="shared" si="0"/>
        <v>18.981250000004366</v>
      </c>
      <c r="G57" s="1">
        <v>7.46</v>
      </c>
      <c r="H57" s="1">
        <v>7.51</v>
      </c>
      <c r="I57" s="1">
        <v>145.22</v>
      </c>
      <c r="J57" s="1">
        <v>131.88</v>
      </c>
      <c r="K57" s="1">
        <v>2.92</v>
      </c>
      <c r="L57" s="1">
        <v>2.77</v>
      </c>
      <c r="M57" s="1">
        <f t="shared" si="4"/>
        <v>2.8449999999999998</v>
      </c>
      <c r="N57" s="1">
        <v>3.1</v>
      </c>
      <c r="O57" s="1">
        <v>2.94</v>
      </c>
      <c r="P57" s="1">
        <f t="shared" si="16"/>
        <v>3.02</v>
      </c>
      <c r="Q57" s="66">
        <f t="shared" si="1"/>
        <v>7.3363431146041538E-3</v>
      </c>
      <c r="R57" s="1">
        <v>94.3</v>
      </c>
      <c r="S57" s="1">
        <v>94.3</v>
      </c>
      <c r="T57" s="1">
        <f t="shared" si="17"/>
        <v>94.3</v>
      </c>
      <c r="U57" s="1">
        <v>15.84</v>
      </c>
      <c r="V57" s="1">
        <v>16.05</v>
      </c>
      <c r="W57" s="1">
        <f t="shared" si="18"/>
        <v>15.945</v>
      </c>
      <c r="X57" s="1"/>
      <c r="Y57" s="1"/>
      <c r="Z57" s="1"/>
      <c r="AA57" s="1"/>
      <c r="AB57" s="1"/>
      <c r="AC57" s="1"/>
      <c r="AD57" s="1">
        <v>0.82</v>
      </c>
      <c r="AE57" s="1">
        <v>0.85</v>
      </c>
      <c r="AF57" s="1">
        <f t="shared" si="8"/>
        <v>0.83499999999999996</v>
      </c>
      <c r="AG57" s="1">
        <v>0.9</v>
      </c>
      <c r="AH57" s="1">
        <v>0.92</v>
      </c>
      <c r="AI57" s="1">
        <f t="shared" si="9"/>
        <v>0.91</v>
      </c>
      <c r="AJ57" s="1">
        <v>91.5</v>
      </c>
      <c r="AK57" s="1">
        <v>91.9</v>
      </c>
      <c r="AL57" s="1">
        <f t="shared" si="10"/>
        <v>91.7</v>
      </c>
      <c r="AM57" s="1">
        <v>13.48</v>
      </c>
      <c r="AN57" s="1">
        <v>13.46</v>
      </c>
      <c r="AO57" s="1">
        <f t="shared" si="11"/>
        <v>13.47</v>
      </c>
      <c r="AP57" s="1"/>
      <c r="AQ57" s="1"/>
      <c r="AR57" s="1"/>
      <c r="AS57" s="1"/>
      <c r="AT57" s="1"/>
      <c r="AU57" s="1"/>
      <c r="AV57" s="51" t="str">
        <f t="shared" si="12"/>
        <v>PN44</v>
      </c>
      <c r="AW57" s="46">
        <f t="shared" si="13"/>
        <v>18.981250000004366</v>
      </c>
      <c r="AX57" s="89">
        <v>1.871580913847511</v>
      </c>
      <c r="AY57" s="1"/>
      <c r="AZ57" s="58">
        <v>680</v>
      </c>
      <c r="BA57" s="58">
        <v>560000</v>
      </c>
      <c r="BB57" s="58">
        <v>380935916.01798624</v>
      </c>
      <c r="BC57" s="58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ht="14.25" customHeight="1" x14ac:dyDescent="0.15">
      <c r="A58" s="51" t="s">
        <v>105</v>
      </c>
      <c r="B58" s="82">
        <v>43676.852777777778</v>
      </c>
      <c r="C58" s="51">
        <f t="shared" ref="C58:C61" si="23">(B58-B57)*24+C57</f>
        <v>553.56666666670935</v>
      </c>
      <c r="D58" s="51">
        <f t="shared" ref="D58:D61" si="24">C58/24</f>
        <v>23.065277777779556</v>
      </c>
      <c r="E58" s="1">
        <f t="shared" si="15"/>
        <v>467.43333333340706</v>
      </c>
      <c r="F58" s="1">
        <f t="shared" si="0"/>
        <v>19.476388888891961</v>
      </c>
      <c r="G58" s="1"/>
      <c r="H58" s="1"/>
      <c r="I58" s="1">
        <v>145.9</v>
      </c>
      <c r="J58" s="1">
        <v>132.35</v>
      </c>
      <c r="K58" s="1">
        <v>2.77</v>
      </c>
      <c r="L58" s="1">
        <v>2.67</v>
      </c>
      <c r="M58" s="1">
        <f t="shared" si="4"/>
        <v>2.7199999999999998</v>
      </c>
      <c r="N58" s="1">
        <v>2.97</v>
      </c>
      <c r="O58" s="1">
        <v>2.83</v>
      </c>
      <c r="P58" s="1">
        <f t="shared" si="16"/>
        <v>2.9000000000000004</v>
      </c>
      <c r="Q58" s="66">
        <f t="shared" si="1"/>
        <v>-3.7810255767606327E-3</v>
      </c>
      <c r="R58" s="1">
        <v>93.4</v>
      </c>
      <c r="S58" s="1">
        <v>94.3</v>
      </c>
      <c r="T58" s="1">
        <f t="shared" si="17"/>
        <v>93.85</v>
      </c>
      <c r="U58" s="1">
        <v>16</v>
      </c>
      <c r="V58" s="1">
        <v>16.05</v>
      </c>
      <c r="W58" s="1">
        <f t="shared" si="18"/>
        <v>16.024999999999999</v>
      </c>
      <c r="X58" s="1"/>
      <c r="Y58" s="1"/>
      <c r="Z58" s="1"/>
      <c r="AA58" s="1"/>
      <c r="AB58" s="1"/>
      <c r="AC58" s="1"/>
      <c r="AD58" s="1">
        <v>1.38</v>
      </c>
      <c r="AE58" s="1">
        <v>1.32</v>
      </c>
      <c r="AF58" s="1">
        <f t="shared" si="8"/>
        <v>1.35</v>
      </c>
      <c r="AG58" s="1">
        <v>1.45</v>
      </c>
      <c r="AH58" s="1">
        <v>1.38</v>
      </c>
      <c r="AI58" s="1">
        <f t="shared" si="9"/>
        <v>1.415</v>
      </c>
      <c r="AJ58" s="1">
        <v>95.3</v>
      </c>
      <c r="AK58" s="1">
        <v>95.3</v>
      </c>
      <c r="AL58" s="1">
        <f t="shared" si="10"/>
        <v>95.3</v>
      </c>
      <c r="AM58" s="1">
        <v>14.87</v>
      </c>
      <c r="AN58" s="1">
        <v>14.92</v>
      </c>
      <c r="AO58" s="1">
        <f t="shared" si="11"/>
        <v>14.895</v>
      </c>
      <c r="AP58" s="1"/>
      <c r="AQ58" s="1"/>
      <c r="AR58" s="1"/>
      <c r="AS58" s="1"/>
      <c r="AT58" s="1"/>
      <c r="AU58" s="1"/>
      <c r="AV58" s="51" t="str">
        <f t="shared" si="12"/>
        <v>PN45</v>
      </c>
      <c r="AW58" s="46">
        <f t="shared" si="13"/>
        <v>19.476388888891961</v>
      </c>
      <c r="AX58" s="89">
        <v>0</v>
      </c>
      <c r="AY58" s="1"/>
      <c r="AZ58" s="58">
        <v>120</v>
      </c>
      <c r="BA58" s="58">
        <v>56000</v>
      </c>
      <c r="BB58" s="58">
        <v>730112609.58725798</v>
      </c>
      <c r="BC58" s="58"/>
      <c r="BD58" s="1"/>
      <c r="BE58" s="1"/>
      <c r="BF58" s="1"/>
      <c r="BG58" s="1"/>
      <c r="BH58" s="1"/>
      <c r="BI58" s="1"/>
      <c r="BJ58" s="83"/>
      <c r="BK58" s="1"/>
      <c r="BL58" s="1"/>
      <c r="BM58" s="1"/>
      <c r="BN58" s="1"/>
      <c r="BO58" s="1"/>
      <c r="BP58" s="1"/>
    </row>
    <row r="59" spans="1:68" ht="14.25" customHeight="1" x14ac:dyDescent="0.15">
      <c r="A59" s="51" t="s">
        <v>106</v>
      </c>
      <c r="B59" s="82">
        <v>43677.367361111108</v>
      </c>
      <c r="C59" s="51">
        <f t="shared" si="23"/>
        <v>565.91666666662786</v>
      </c>
      <c r="D59" s="51">
        <f t="shared" si="24"/>
        <v>23.579861111109494</v>
      </c>
      <c r="E59" s="1">
        <f t="shared" si="15"/>
        <v>479.78333333332557</v>
      </c>
      <c r="F59" s="1">
        <f t="shared" si="0"/>
        <v>19.990972222221899</v>
      </c>
      <c r="G59" s="1">
        <v>7.44</v>
      </c>
      <c r="H59" s="1">
        <v>7.49</v>
      </c>
      <c r="I59" s="1">
        <v>145.69</v>
      </c>
      <c r="J59" s="1">
        <v>131.77000000000001</v>
      </c>
      <c r="K59" s="1">
        <v>2.99</v>
      </c>
      <c r="L59" s="1">
        <v>2.85</v>
      </c>
      <c r="M59" s="1">
        <f t="shared" si="4"/>
        <v>2.92</v>
      </c>
      <c r="N59" s="1">
        <v>3.2</v>
      </c>
      <c r="O59" s="1">
        <v>3.04</v>
      </c>
      <c r="P59" s="1">
        <f t="shared" si="16"/>
        <v>3.12</v>
      </c>
      <c r="Q59" s="66">
        <f t="shared" si="1"/>
        <v>5.7450798358504133E-3</v>
      </c>
      <c r="R59" s="1">
        <v>93.5</v>
      </c>
      <c r="S59" s="1">
        <v>93.9</v>
      </c>
      <c r="T59" s="1">
        <f t="shared" si="17"/>
        <v>93.7</v>
      </c>
      <c r="U59" s="1">
        <v>15.96</v>
      </c>
      <c r="V59" s="1">
        <v>16.059999999999999</v>
      </c>
      <c r="W59" s="1">
        <f t="shared" si="18"/>
        <v>16.009999999999998</v>
      </c>
      <c r="X59" s="1"/>
      <c r="Y59" s="1"/>
      <c r="Z59" s="1"/>
      <c r="AA59" s="1"/>
      <c r="AB59" s="1"/>
      <c r="AC59" s="1"/>
      <c r="AD59" s="1">
        <v>1.63</v>
      </c>
      <c r="AE59" s="1">
        <v>1.65</v>
      </c>
      <c r="AF59" s="1">
        <f t="shared" si="8"/>
        <v>1.64</v>
      </c>
      <c r="AG59" s="1">
        <v>1.75</v>
      </c>
      <c r="AH59" s="1">
        <v>1.77</v>
      </c>
      <c r="AI59" s="1">
        <f t="shared" si="9"/>
        <v>1.76</v>
      </c>
      <c r="AJ59" s="1">
        <v>93.5</v>
      </c>
      <c r="AK59" s="1">
        <v>93.6</v>
      </c>
      <c r="AL59" s="1">
        <f t="shared" si="10"/>
        <v>93.55</v>
      </c>
      <c r="AM59" s="1">
        <v>15.07</v>
      </c>
      <c r="AN59" s="1">
        <v>15.17</v>
      </c>
      <c r="AO59" s="1">
        <f t="shared" si="11"/>
        <v>15.120000000000001</v>
      </c>
      <c r="AP59" s="1"/>
      <c r="AQ59" s="1"/>
      <c r="AR59" s="1"/>
      <c r="AS59" s="1"/>
      <c r="AT59" s="1"/>
      <c r="AU59" s="1"/>
      <c r="AV59" s="51" t="str">
        <f t="shared" si="12"/>
        <v>PN46</v>
      </c>
      <c r="AW59" s="46">
        <f t="shared" si="13"/>
        <v>19.990972222221899</v>
      </c>
      <c r="AX59" s="89">
        <v>0</v>
      </c>
      <c r="AY59" s="84"/>
      <c r="AZ59" s="58">
        <v>12</v>
      </c>
      <c r="BA59" s="58">
        <v>5600</v>
      </c>
      <c r="BB59" s="58">
        <v>475911052.1430006</v>
      </c>
      <c r="BC59" s="58"/>
      <c r="BD59" s="1"/>
      <c r="BE59" s="1"/>
      <c r="BF59" s="1"/>
      <c r="BG59" s="1"/>
      <c r="BH59" s="1"/>
      <c r="BI59" s="1"/>
      <c r="BJ59" s="83"/>
      <c r="BK59" s="1"/>
      <c r="BL59" s="1"/>
      <c r="BM59" s="1"/>
      <c r="BN59" s="1"/>
      <c r="BO59" s="1"/>
      <c r="BP59" s="1"/>
    </row>
    <row r="60" spans="1:68" ht="14.25" customHeight="1" x14ac:dyDescent="0.15">
      <c r="A60" s="51" t="s">
        <v>107</v>
      </c>
      <c r="B60" s="82">
        <v>43677.820138888892</v>
      </c>
      <c r="C60" s="51">
        <f t="shared" si="23"/>
        <v>576.78333333344199</v>
      </c>
      <c r="D60" s="51">
        <f t="shared" si="24"/>
        <v>24.032638888893416</v>
      </c>
      <c r="E60" s="1">
        <f t="shared" si="15"/>
        <v>490.6500000001397</v>
      </c>
      <c r="F60" s="1">
        <f t="shared" si="0"/>
        <v>20.443750000005821</v>
      </c>
      <c r="G60" s="1"/>
      <c r="H60" s="1"/>
      <c r="I60" s="88"/>
      <c r="J60" s="88"/>
      <c r="K60" s="1">
        <v>2.76</v>
      </c>
      <c r="L60" s="1">
        <v>2.6</v>
      </c>
      <c r="M60" s="1">
        <f t="shared" si="4"/>
        <v>2.6799999999999997</v>
      </c>
      <c r="N60" s="1">
        <v>2.94</v>
      </c>
      <c r="O60" s="1">
        <v>2.76</v>
      </c>
      <c r="P60" s="1">
        <f t="shared" si="16"/>
        <v>2.8499999999999996</v>
      </c>
      <c r="Q60" s="66">
        <f t="shared" si="1"/>
        <v>-7.8926523088584093E-3</v>
      </c>
      <c r="R60" s="1">
        <v>93.8</v>
      </c>
      <c r="S60" s="1">
        <v>94</v>
      </c>
      <c r="T60" s="1">
        <f t="shared" si="17"/>
        <v>93.9</v>
      </c>
      <c r="U60" s="1">
        <v>16.09</v>
      </c>
      <c r="V60" s="1">
        <v>16.27</v>
      </c>
      <c r="W60" s="1">
        <f t="shared" si="18"/>
        <v>16.18</v>
      </c>
      <c r="X60" s="1"/>
      <c r="Y60" s="1"/>
      <c r="Z60" s="1"/>
      <c r="AA60" s="1"/>
      <c r="AB60" s="1"/>
      <c r="AC60" s="1"/>
      <c r="AD60" s="1">
        <v>2.2200000000000002</v>
      </c>
      <c r="AE60" s="1">
        <v>2.27</v>
      </c>
      <c r="AF60" s="1">
        <f t="shared" si="8"/>
        <v>2.2450000000000001</v>
      </c>
      <c r="AG60" s="1">
        <v>2.35</v>
      </c>
      <c r="AH60" s="1">
        <v>2.38</v>
      </c>
      <c r="AI60" s="1">
        <f t="shared" si="9"/>
        <v>2.3650000000000002</v>
      </c>
      <c r="AJ60" s="1">
        <v>94.5</v>
      </c>
      <c r="AK60" s="1">
        <v>95</v>
      </c>
      <c r="AL60" s="1">
        <f t="shared" si="10"/>
        <v>94.75</v>
      </c>
      <c r="AM60" s="1">
        <v>15.32</v>
      </c>
      <c r="AN60" s="1">
        <v>15.45</v>
      </c>
      <c r="AO60" s="1">
        <f t="shared" si="11"/>
        <v>15.385</v>
      </c>
      <c r="AP60" s="1"/>
      <c r="AQ60" s="1"/>
      <c r="AR60" s="1"/>
      <c r="AS60" s="1"/>
      <c r="AT60" s="1"/>
      <c r="AU60" s="1"/>
      <c r="AV60" s="51" t="str">
        <f t="shared" si="12"/>
        <v>PN47</v>
      </c>
      <c r="AW60" s="46">
        <f t="shared" si="13"/>
        <v>20.443750000005821</v>
      </c>
      <c r="AX60" s="89">
        <v>0</v>
      </c>
      <c r="AY60" s="1"/>
      <c r="AZ60" s="58">
        <v>160</v>
      </c>
      <c r="BA60" s="58">
        <v>1300</v>
      </c>
      <c r="BB60" s="58">
        <v>172191278.28572243</v>
      </c>
      <c r="BC60" s="58"/>
      <c r="BD60" s="1"/>
      <c r="BE60" s="1"/>
      <c r="BF60" s="1"/>
      <c r="BG60" s="1"/>
      <c r="BH60" s="1"/>
      <c r="BI60" s="1"/>
      <c r="BJ60" s="83"/>
      <c r="BK60" s="1"/>
      <c r="BL60" s="1"/>
      <c r="BM60" s="1"/>
      <c r="BN60" s="1"/>
      <c r="BO60" s="1"/>
      <c r="BP60" s="1"/>
    </row>
    <row r="61" spans="1:68" ht="14.25" customHeight="1" x14ac:dyDescent="0.15">
      <c r="A61" s="51" t="s">
        <v>108</v>
      </c>
      <c r="B61" s="65">
        <v>43678.371527777781</v>
      </c>
      <c r="C61" s="51">
        <f t="shared" si="23"/>
        <v>590.0166666667792</v>
      </c>
      <c r="D61" s="51">
        <f t="shared" si="24"/>
        <v>24.584027777782467</v>
      </c>
      <c r="E61" s="1">
        <f t="shared" si="15"/>
        <v>503.88333333347691</v>
      </c>
      <c r="F61" s="1">
        <f t="shared" si="0"/>
        <v>20.995138888894871</v>
      </c>
      <c r="G61" s="1">
        <v>7.44</v>
      </c>
      <c r="H61" s="1">
        <v>7.56</v>
      </c>
      <c r="I61" s="1">
        <v>145.81</v>
      </c>
      <c r="J61" s="1">
        <v>131.86000000000001</v>
      </c>
      <c r="K61" s="1">
        <v>2.94</v>
      </c>
      <c r="L61" s="1">
        <v>2.98</v>
      </c>
      <c r="M61" s="1">
        <f t="shared" si="4"/>
        <v>2.96</v>
      </c>
      <c r="N61" s="1">
        <v>3.12</v>
      </c>
      <c r="O61" s="1">
        <v>3.16</v>
      </c>
      <c r="P61" s="1">
        <f t="shared" si="16"/>
        <v>3.14</v>
      </c>
      <c r="Q61" s="66">
        <f t="shared" si="1"/>
        <v>7.5092549480988407E-3</v>
      </c>
      <c r="R61" s="1">
        <v>94</v>
      </c>
      <c r="S61" s="1">
        <v>94</v>
      </c>
      <c r="T61" s="1">
        <f t="shared" si="17"/>
        <v>94</v>
      </c>
      <c r="U61" s="1">
        <v>16.03</v>
      </c>
      <c r="V61" s="1">
        <v>16.12</v>
      </c>
      <c r="W61" s="1">
        <f t="shared" si="18"/>
        <v>16.075000000000003</v>
      </c>
      <c r="X61" s="1"/>
      <c r="Y61" s="1"/>
      <c r="Z61" s="1"/>
      <c r="AA61" s="1"/>
      <c r="AB61" s="1"/>
      <c r="AC61" s="1"/>
      <c r="AD61" s="1">
        <v>2.98</v>
      </c>
      <c r="AE61" s="1">
        <v>3.01</v>
      </c>
      <c r="AF61" s="1">
        <f t="shared" si="8"/>
        <v>2.9950000000000001</v>
      </c>
      <c r="AG61" s="1"/>
      <c r="AH61" s="1"/>
      <c r="AI61" s="1"/>
      <c r="AJ61" s="1">
        <v>96.7</v>
      </c>
      <c r="AK61" s="1">
        <v>97.5</v>
      </c>
      <c r="AL61" s="1">
        <f t="shared" si="10"/>
        <v>97.1</v>
      </c>
      <c r="AM61" s="1"/>
      <c r="AN61" s="1"/>
      <c r="AO61" s="1"/>
      <c r="AP61" s="1"/>
      <c r="AQ61" s="1"/>
      <c r="AR61" s="1"/>
      <c r="AS61" s="1"/>
      <c r="AT61" s="1"/>
      <c r="AU61" s="1"/>
      <c r="AV61" s="51" t="str">
        <f t="shared" si="12"/>
        <v>PN48</v>
      </c>
      <c r="AW61" s="46">
        <f t="shared" si="13"/>
        <v>20.995138888894871</v>
      </c>
      <c r="AX61" s="89">
        <v>0</v>
      </c>
      <c r="AY61" s="1"/>
      <c r="AZ61" s="58">
        <v>32000000</v>
      </c>
      <c r="BA61" s="94">
        <v>76000000</v>
      </c>
      <c r="BB61" s="58">
        <v>3447938552.2633128</v>
      </c>
      <c r="BC61" s="58"/>
      <c r="BD61" s="1"/>
      <c r="BE61" s="1"/>
      <c r="BF61" s="1"/>
      <c r="BG61" s="1"/>
      <c r="BH61" s="1"/>
      <c r="BI61" s="1"/>
      <c r="BJ61" s="83"/>
      <c r="BK61" s="1"/>
      <c r="BL61" s="1"/>
      <c r="BM61" s="1"/>
      <c r="BN61" s="1"/>
      <c r="BO61" s="1"/>
      <c r="BP61" s="1"/>
    </row>
    <row r="62" spans="1:68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58"/>
      <c r="BD62" s="1"/>
      <c r="BE62" s="1"/>
      <c r="BF62" s="1"/>
      <c r="BG62" s="1"/>
      <c r="BH62" s="1"/>
      <c r="BI62" s="1"/>
      <c r="BJ62" s="83"/>
      <c r="BK62" s="1"/>
      <c r="BL62" s="1"/>
      <c r="BM62" s="1"/>
      <c r="BN62" s="1"/>
      <c r="BO62" s="1"/>
      <c r="BP62" s="1"/>
    </row>
    <row r="63" spans="1:68" ht="14.25" customHeight="1" x14ac:dyDescent="0.15">
      <c r="BJ63" s="67"/>
    </row>
    <row r="64" spans="1:68" ht="14.25" customHeight="1" x14ac:dyDescent="0.15">
      <c r="M64" s="95">
        <f>AVERAGE(M19:M61)</f>
        <v>2.58</v>
      </c>
      <c r="BJ64" s="67"/>
    </row>
    <row r="65" spans="13:62" ht="14.25" customHeight="1" x14ac:dyDescent="0.15">
      <c r="M65" s="24">
        <f>_xlfn.STDEV.S(M19:M61)</f>
        <v>0.21827789190671162</v>
      </c>
      <c r="BJ65" s="67"/>
    </row>
    <row r="66" spans="13:62" ht="14.25" customHeight="1" x14ac:dyDescent="0.15">
      <c r="BJ66" s="67"/>
    </row>
    <row r="67" spans="13:62" ht="14.25" customHeight="1" x14ac:dyDescent="0.15">
      <c r="BJ67" s="67"/>
    </row>
    <row r="68" spans="13:62" ht="14.25" customHeight="1" x14ac:dyDescent="0.15">
      <c r="BJ68" s="67"/>
    </row>
    <row r="69" spans="13:62" ht="14.25" customHeight="1" x14ac:dyDescent="0.15">
      <c r="BJ69" s="67"/>
    </row>
    <row r="70" spans="13:62" ht="14.25" customHeight="1" x14ac:dyDescent="0.15"/>
    <row r="71" spans="13:62" ht="14.25" customHeight="1" x14ac:dyDescent="0.15"/>
    <row r="72" spans="13:62" ht="14.25" customHeight="1" x14ac:dyDescent="0.15"/>
    <row r="73" spans="13:62" ht="14.25" customHeight="1" x14ac:dyDescent="0.15"/>
    <row r="74" spans="13:62" ht="14.25" customHeight="1" x14ac:dyDescent="0.15"/>
    <row r="75" spans="13:62" ht="14.25" customHeight="1" x14ac:dyDescent="0.15"/>
    <row r="76" spans="13:62" ht="14.25" customHeight="1" x14ac:dyDescent="0.15"/>
    <row r="77" spans="13:62" ht="14.25" customHeight="1" x14ac:dyDescent="0.15">
      <c r="AW77" s="24">
        <v>-3.9034722222277196</v>
      </c>
      <c r="AX77" s="24">
        <v>1.0900000000000001</v>
      </c>
    </row>
    <row r="78" spans="13:62" ht="14.25" customHeight="1" x14ac:dyDescent="0.15">
      <c r="AW78" s="24">
        <v>24</v>
      </c>
      <c r="AX78" s="24">
        <v>1.0900000000000001</v>
      </c>
    </row>
    <row r="79" spans="13:62" ht="14.25" customHeight="1" x14ac:dyDescent="0.15"/>
    <row r="80" spans="13:62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</sheetData>
  <mergeCells count="4">
    <mergeCell ref="AD10:AT10"/>
    <mergeCell ref="G10:H10"/>
    <mergeCell ref="A10:F10"/>
    <mergeCell ref="K10:AB10"/>
  </mergeCells>
  <pageMargins left="0.7" right="0.7" top="0.75" bottom="0.75" header="0.3" footer="0.3"/>
  <pageSetup paperSize="11" orientation="landscape" horizontalDpi="525" verticalDpi="52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C2:M2"/>
  <sheetViews>
    <sheetView topLeftCell="A22" zoomScale="130" zoomScaleNormal="130" workbookViewId="0">
      <selection activeCell="K37" sqref="K37"/>
    </sheetView>
  </sheetViews>
  <sheetFormatPr defaultColWidth="9.140625" defaultRowHeight="15" x14ac:dyDescent="0.25"/>
  <sheetData>
    <row r="2" spans="3:13" x14ac:dyDescent="0.25">
      <c r="C2" s="48" t="s">
        <v>58</v>
      </c>
      <c r="D2" s="49"/>
      <c r="K2" s="48" t="s">
        <v>160</v>
      </c>
      <c r="L2" s="49"/>
      <c r="M2" s="4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"/>
  <sheetViews>
    <sheetView zoomScale="145" zoomScaleNormal="145" workbookViewId="0">
      <selection activeCell="H3" sqref="H3"/>
    </sheetView>
  </sheetViews>
  <sheetFormatPr defaultColWidth="11.42578125" defaultRowHeight="15" x14ac:dyDescent="0.2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"/>
  <sheetViews>
    <sheetView topLeftCell="A25" zoomScaleNormal="100" workbookViewId="0">
      <selection activeCell="J59" sqref="J59"/>
    </sheetView>
  </sheetViews>
  <sheetFormatPr defaultColWidth="9.140625" defaultRowHeight="15" x14ac:dyDescent="0.25"/>
  <sheetData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S85"/>
  <sheetViews>
    <sheetView topLeftCell="A7" zoomScale="85" zoomScaleNormal="85" workbookViewId="0">
      <selection activeCell="L28" sqref="L28"/>
    </sheetView>
  </sheetViews>
  <sheetFormatPr defaultColWidth="9.140625" defaultRowHeight="12.75" x14ac:dyDescent="0.2"/>
  <cols>
    <col min="1" max="1" width="11.140625" style="14" customWidth="1"/>
    <col min="2" max="2" width="18.85546875" style="14" customWidth="1"/>
    <col min="3" max="5" width="9.140625" style="14"/>
    <col min="6" max="6" width="10.42578125" style="14" customWidth="1"/>
    <col min="7" max="7" width="13.7109375" style="14" customWidth="1"/>
    <col min="8" max="8" width="10.28515625" style="14" customWidth="1"/>
    <col min="9" max="9" width="15" style="14" customWidth="1"/>
    <col min="10" max="10" width="9.140625" style="14"/>
    <col min="11" max="11" width="44.5703125" style="14" bestFit="1" customWidth="1"/>
    <col min="12" max="12" width="12.140625" style="14" customWidth="1"/>
    <col min="13" max="16" width="9.140625" style="14"/>
    <col min="17" max="17" width="12" style="14" customWidth="1"/>
    <col min="18" max="18" width="9.140625" style="14"/>
    <col min="19" max="19" width="11" style="14" bestFit="1" customWidth="1"/>
    <col min="20" max="16384" width="9.140625" style="14"/>
  </cols>
  <sheetData>
    <row r="1" spans="1:15" x14ac:dyDescent="0.2">
      <c r="A1" s="2"/>
      <c r="B1" s="2"/>
      <c r="C1" s="2"/>
      <c r="D1" s="2"/>
      <c r="E1" s="2"/>
      <c r="F1" s="3"/>
      <c r="G1" s="3"/>
      <c r="H1" s="3"/>
      <c r="I1" s="3"/>
      <c r="J1" s="3"/>
      <c r="K1" s="3"/>
    </row>
    <row r="2" spans="1:15" x14ac:dyDescent="0.2">
      <c r="A2" s="2" t="s">
        <v>93</v>
      </c>
      <c r="B2" s="2"/>
      <c r="C2" s="2"/>
      <c r="D2" s="2"/>
      <c r="E2" s="2"/>
      <c r="F2" s="3"/>
      <c r="G2" s="3"/>
      <c r="H2" s="3"/>
      <c r="I2" s="3"/>
      <c r="J2" s="3"/>
      <c r="K2" s="3"/>
    </row>
    <row r="7" spans="1:15" ht="13.5" thickBot="1" x14ac:dyDescent="0.25">
      <c r="K7" s="11"/>
      <c r="L7" s="11"/>
      <c r="M7" s="11"/>
    </row>
    <row r="8" spans="1:15" ht="15" x14ac:dyDescent="0.25">
      <c r="F8" s="104" t="s">
        <v>51</v>
      </c>
      <c r="G8" s="105"/>
      <c r="H8" s="106"/>
      <c r="I8" s="42" t="s">
        <v>52</v>
      </c>
      <c r="K8" s="11"/>
      <c r="L8" s="11"/>
      <c r="M8" s="11"/>
    </row>
    <row r="9" spans="1:15" ht="13.5" thickBot="1" x14ac:dyDescent="0.25">
      <c r="F9" s="39" t="s">
        <v>47</v>
      </c>
      <c r="G9" s="40" t="s">
        <v>48</v>
      </c>
      <c r="H9" s="41" t="s">
        <v>50</v>
      </c>
      <c r="I9" s="43" t="s">
        <v>49</v>
      </c>
      <c r="K9" s="11"/>
      <c r="L9" s="11"/>
      <c r="M9" s="11"/>
      <c r="O9" s="11"/>
    </row>
    <row r="10" spans="1:15" ht="27" customHeight="1" x14ac:dyDescent="0.2">
      <c r="A10" s="15" t="s">
        <v>1</v>
      </c>
      <c r="B10" s="15" t="s">
        <v>2</v>
      </c>
      <c r="C10" s="15" t="s">
        <v>2</v>
      </c>
      <c r="D10" s="15"/>
      <c r="E10" s="15" t="s">
        <v>2</v>
      </c>
      <c r="F10" s="38" t="s">
        <v>35</v>
      </c>
      <c r="G10" s="38" t="s">
        <v>36</v>
      </c>
      <c r="H10" s="38" t="s">
        <v>37</v>
      </c>
      <c r="I10" s="38" t="s">
        <v>38</v>
      </c>
      <c r="J10" s="16"/>
      <c r="K10" s="11"/>
      <c r="L10" s="11"/>
      <c r="M10" s="11"/>
      <c r="O10" s="11"/>
    </row>
    <row r="11" spans="1:15" x14ac:dyDescent="0.2">
      <c r="A11" s="17"/>
      <c r="B11" s="17" t="s">
        <v>3</v>
      </c>
      <c r="C11" s="17" t="s">
        <v>4</v>
      </c>
      <c r="D11" s="17"/>
      <c r="E11" s="17" t="s">
        <v>40</v>
      </c>
      <c r="F11" s="17" t="s">
        <v>20</v>
      </c>
      <c r="G11" s="17" t="s">
        <v>20</v>
      </c>
      <c r="H11" s="17" t="s">
        <v>20</v>
      </c>
      <c r="I11" s="17" t="s">
        <v>20</v>
      </c>
      <c r="K11" s="11"/>
      <c r="L11" s="11"/>
      <c r="M11" s="11"/>
      <c r="N11" s="11"/>
      <c r="O11" s="11"/>
    </row>
    <row r="12" spans="1:15" x14ac:dyDescent="0.2">
      <c r="A12" s="10" t="s">
        <v>59</v>
      </c>
      <c r="B12" s="12">
        <f>'General Parameters'!B13</f>
        <v>43653.787499999999</v>
      </c>
      <c r="C12" s="13"/>
      <c r="D12" s="13"/>
      <c r="E12" s="13"/>
      <c r="F12" s="10"/>
      <c r="G12" s="10"/>
      <c r="H12" s="10"/>
      <c r="I12" s="10"/>
      <c r="K12" s="11"/>
      <c r="L12" s="11"/>
      <c r="M12" s="11"/>
      <c r="N12" s="11"/>
      <c r="O12" s="11"/>
    </row>
    <row r="13" spans="1:15" x14ac:dyDescent="0.2">
      <c r="A13" s="10" t="s">
        <v>60</v>
      </c>
      <c r="B13" s="12">
        <f>'General Parameters'!B14</f>
        <v>43654.802083333336</v>
      </c>
      <c r="C13" s="13">
        <v>12</v>
      </c>
      <c r="D13" s="13"/>
      <c r="E13" s="13"/>
      <c r="F13" s="53">
        <f>(C13-C12)*60*$L$31</f>
        <v>42.281999999999996</v>
      </c>
      <c r="G13" s="70">
        <f t="shared" ref="G13:G23" si="0">(C13-C12)*60*$L$29</f>
        <v>28.187999999999999</v>
      </c>
      <c r="H13" s="53">
        <f t="shared" ref="H13:H23" si="1">(C13-C12)*60*$L$30</f>
        <v>14.093999999999999</v>
      </c>
      <c r="I13" s="53">
        <f>G13</f>
        <v>28.187999999999999</v>
      </c>
      <c r="K13" s="11"/>
      <c r="L13" s="11"/>
      <c r="M13" s="11"/>
      <c r="N13" s="11"/>
      <c r="O13" s="11"/>
    </row>
    <row r="14" spans="1:15" x14ac:dyDescent="0.2">
      <c r="A14" s="10" t="s">
        <v>61</v>
      </c>
      <c r="B14" s="12">
        <f>'General Parameters'!B15</f>
        <v>43655.348611111112</v>
      </c>
      <c r="C14" s="13">
        <v>0</v>
      </c>
      <c r="D14" s="13"/>
      <c r="E14" s="13"/>
      <c r="F14" s="53">
        <f t="shared" ref="F14:F23" si="2">(C14-C13)*60*$L$31</f>
        <v>-42.281999999999996</v>
      </c>
      <c r="G14" s="70">
        <f t="shared" si="0"/>
        <v>-28.187999999999999</v>
      </c>
      <c r="H14" s="53">
        <f t="shared" si="1"/>
        <v>-14.093999999999999</v>
      </c>
      <c r="I14" s="53">
        <f t="shared" ref="I14:I23" si="3">G14</f>
        <v>-28.187999999999999</v>
      </c>
      <c r="K14" s="11" t="s">
        <v>27</v>
      </c>
      <c r="L14" s="11"/>
      <c r="M14" s="11"/>
      <c r="N14" s="11"/>
      <c r="O14" s="11"/>
    </row>
    <row r="15" spans="1:15" x14ac:dyDescent="0.2">
      <c r="A15" s="10" t="s">
        <v>62</v>
      </c>
      <c r="B15" s="12">
        <f>'General Parameters'!B16</f>
        <v>43655.8125</v>
      </c>
      <c r="C15" s="13">
        <v>12</v>
      </c>
      <c r="D15" s="13"/>
      <c r="E15" s="13"/>
      <c r="F15" s="53">
        <f t="shared" si="2"/>
        <v>42.281999999999996</v>
      </c>
      <c r="G15" s="70">
        <f t="shared" si="0"/>
        <v>28.187999999999999</v>
      </c>
      <c r="H15" s="53">
        <f t="shared" si="1"/>
        <v>14.093999999999999</v>
      </c>
      <c r="I15" s="53">
        <f t="shared" si="3"/>
        <v>28.187999999999999</v>
      </c>
      <c r="J15" s="22"/>
      <c r="K15" s="50">
        <v>2.9000000000000001E-2</v>
      </c>
      <c r="L15" s="11" t="s">
        <v>26</v>
      </c>
      <c r="N15" s="11"/>
      <c r="O15" s="11"/>
    </row>
    <row r="16" spans="1:15" x14ac:dyDescent="0.2">
      <c r="A16" s="10" t="s">
        <v>63</v>
      </c>
      <c r="B16" s="12">
        <f>'General Parameters'!B17</f>
        <v>43656.36041666667</v>
      </c>
      <c r="C16" s="13">
        <f t="shared" ref="C16:C27" si="4">(B16-B15)*24+C15</f>
        <v>25.150000000081491</v>
      </c>
      <c r="D16" s="13"/>
      <c r="E16" s="13"/>
      <c r="F16" s="53">
        <f t="shared" si="2"/>
        <v>46.334025000287134</v>
      </c>
      <c r="G16" s="70">
        <f t="shared" si="0"/>
        <v>30.889350000191421</v>
      </c>
      <c r="H16" s="53">
        <f t="shared" si="1"/>
        <v>15.44467500009571</v>
      </c>
      <c r="I16" s="53">
        <f t="shared" si="3"/>
        <v>30.889350000191421</v>
      </c>
      <c r="K16" s="11"/>
      <c r="L16" s="11"/>
      <c r="M16" s="11"/>
      <c r="N16" s="11"/>
      <c r="O16" s="11"/>
    </row>
    <row r="17" spans="1:19" x14ac:dyDescent="0.2">
      <c r="A17" s="10" t="s">
        <v>64</v>
      </c>
      <c r="B17" s="12">
        <f>'General Parameters'!B18</f>
        <v>43656.87777777778</v>
      </c>
      <c r="C17" s="13">
        <f t="shared" si="4"/>
        <v>37.566666666709352</v>
      </c>
      <c r="D17" s="13"/>
      <c r="E17" s="13"/>
      <c r="F17" s="53">
        <f t="shared" si="2"/>
        <v>43.750124999863267</v>
      </c>
      <c r="G17" s="70">
        <f t="shared" si="0"/>
        <v>29.166749999908845</v>
      </c>
      <c r="H17" s="53">
        <f t="shared" si="1"/>
        <v>14.583374999954422</v>
      </c>
      <c r="I17" s="53">
        <f t="shared" si="3"/>
        <v>29.166749999908845</v>
      </c>
      <c r="K17" s="11"/>
      <c r="L17" s="11"/>
      <c r="M17" s="11"/>
      <c r="N17" s="11"/>
      <c r="O17" s="11"/>
    </row>
    <row r="18" spans="1:19" x14ac:dyDescent="0.2">
      <c r="A18" s="10" t="s">
        <v>65</v>
      </c>
      <c r="B18" s="12">
        <f>'General Parameters'!B19</f>
        <v>43657.361111111109</v>
      </c>
      <c r="C18" s="13">
        <f t="shared" si="4"/>
        <v>49.166666666627862</v>
      </c>
      <c r="D18" s="19"/>
      <c r="E18" s="13"/>
      <c r="F18" s="53">
        <f t="shared" si="2"/>
        <v>40.872599999712868</v>
      </c>
      <c r="G18" s="70">
        <f t="shared" si="0"/>
        <v>27.248399999808576</v>
      </c>
      <c r="H18" s="53">
        <f t="shared" si="1"/>
        <v>13.624199999904288</v>
      </c>
      <c r="I18" s="53">
        <f t="shared" si="3"/>
        <v>27.248399999808576</v>
      </c>
      <c r="K18" s="11"/>
      <c r="L18" s="11"/>
      <c r="M18" s="37"/>
      <c r="N18" s="11"/>
      <c r="O18" s="11"/>
    </row>
    <row r="19" spans="1:19" x14ac:dyDescent="0.2">
      <c r="A19" s="10" t="s">
        <v>66</v>
      </c>
      <c r="B19" s="12">
        <f>'General Parameters'!B20</f>
        <v>43657.872916666667</v>
      </c>
      <c r="C19" s="13">
        <f t="shared" si="4"/>
        <v>61.450000000011642</v>
      </c>
      <c r="D19" s="19"/>
      <c r="E19" s="13"/>
      <c r="F19" s="53">
        <f t="shared" si="2"/>
        <v>43.280325000177747</v>
      </c>
      <c r="G19" s="70">
        <f t="shared" si="0"/>
        <v>28.853550000118496</v>
      </c>
      <c r="H19" s="53">
        <f t="shared" si="1"/>
        <v>14.426775000059248</v>
      </c>
      <c r="I19" s="53">
        <f t="shared" si="3"/>
        <v>28.853550000118496</v>
      </c>
      <c r="K19" s="11"/>
      <c r="L19" s="11"/>
      <c r="M19" s="11"/>
      <c r="N19" s="11"/>
      <c r="O19" s="11"/>
    </row>
    <row r="20" spans="1:19" ht="13.5" thickBot="1" x14ac:dyDescent="0.25">
      <c r="A20" s="10" t="s">
        <v>67</v>
      </c>
      <c r="B20" s="12">
        <f>'General Parameters'!B21</f>
        <v>43658.365277777775</v>
      </c>
      <c r="C20" s="13">
        <f t="shared" si="4"/>
        <v>73.266666666604578</v>
      </c>
      <c r="D20" s="19"/>
      <c r="E20" s="13"/>
      <c r="F20" s="53">
        <f t="shared" si="2"/>
        <v>41.636024999740215</v>
      </c>
      <c r="G20" s="70">
        <f t="shared" si="0"/>
        <v>27.757349999826808</v>
      </c>
      <c r="H20" s="53">
        <f t="shared" si="1"/>
        <v>13.878674999913404</v>
      </c>
      <c r="I20" s="53">
        <f t="shared" si="3"/>
        <v>27.757349999826808</v>
      </c>
      <c r="K20" s="11" t="s">
        <v>151</v>
      </c>
      <c r="L20" s="11">
        <f>1/(L21*60)</f>
        <v>38.314176245210724</v>
      </c>
      <c r="M20" s="11"/>
      <c r="N20" s="11"/>
      <c r="O20" s="11"/>
    </row>
    <row r="21" spans="1:19" ht="13.5" thickBot="1" x14ac:dyDescent="0.25">
      <c r="A21" s="10" t="s">
        <v>68</v>
      </c>
      <c r="B21" s="12">
        <f>'General Parameters'!B22</f>
        <v>43658.772916666669</v>
      </c>
      <c r="C21" s="13">
        <f t="shared" si="4"/>
        <v>83.050000000046566</v>
      </c>
      <c r="D21" s="19"/>
      <c r="E21" s="13"/>
      <c r="F21" s="53">
        <f t="shared" si="2"/>
        <v>34.471575000382842</v>
      </c>
      <c r="G21" s="70">
        <f t="shared" si="0"/>
        <v>22.981050000255227</v>
      </c>
      <c r="H21" s="53">
        <f t="shared" si="1"/>
        <v>11.490525000127613</v>
      </c>
      <c r="I21" s="53">
        <f t="shared" si="3"/>
        <v>22.981050000255227</v>
      </c>
      <c r="K21" s="33" t="s">
        <v>46</v>
      </c>
      <c r="L21" s="36">
        <f>0.9*K15/60</f>
        <v>4.35E-4</v>
      </c>
      <c r="M21" s="34" t="s">
        <v>15</v>
      </c>
      <c r="N21" s="36"/>
      <c r="O21" s="11"/>
    </row>
    <row r="22" spans="1:19" x14ac:dyDescent="0.2">
      <c r="A22" s="10" t="s">
        <v>69</v>
      </c>
      <c r="B22" s="12">
        <f>'General Parameters'!B23</f>
        <v>43659.396527777775</v>
      </c>
      <c r="C22" s="13">
        <f t="shared" si="4"/>
        <v>98.016666666604578</v>
      </c>
      <c r="D22" s="19"/>
      <c r="E22" s="13"/>
      <c r="F22" s="53">
        <f t="shared" si="2"/>
        <v>52.735049999617154</v>
      </c>
      <c r="G22" s="70">
        <f t="shared" si="0"/>
        <v>35.156699999744767</v>
      </c>
      <c r="H22" s="53">
        <f t="shared" si="1"/>
        <v>17.578349999872383</v>
      </c>
      <c r="I22" s="53">
        <f t="shared" si="3"/>
        <v>35.156699999744767</v>
      </c>
      <c r="K22" s="30" t="s">
        <v>45</v>
      </c>
      <c r="L22" s="35"/>
      <c r="M22" s="11"/>
      <c r="N22" s="11"/>
      <c r="O22" s="11"/>
    </row>
    <row r="23" spans="1:19" ht="13.5" thickBot="1" x14ac:dyDescent="0.25">
      <c r="A23" s="10" t="s">
        <v>70</v>
      </c>
      <c r="B23" s="12">
        <f>'General Parameters'!B24</f>
        <v>43659.870138888888</v>
      </c>
      <c r="C23" s="13">
        <f t="shared" si="4"/>
        <v>109.38333333330229</v>
      </c>
      <c r="D23" s="19"/>
      <c r="E23" s="13"/>
      <c r="F23" s="53">
        <f t="shared" si="2"/>
        <v>40.050450000109386</v>
      </c>
      <c r="G23" s="70">
        <f t="shared" si="0"/>
        <v>26.700300000072922</v>
      </c>
      <c r="H23" s="53">
        <f t="shared" si="1"/>
        <v>13.350150000036461</v>
      </c>
      <c r="I23" s="53">
        <f t="shared" si="3"/>
        <v>26.700300000072922</v>
      </c>
      <c r="K23" s="31">
        <f>R24</f>
        <v>7.5757575757575758E-4</v>
      </c>
      <c r="L23" s="32" t="s">
        <v>15</v>
      </c>
      <c r="M23" s="11"/>
      <c r="N23" s="11"/>
      <c r="O23" s="11">
        <f>L26/L31/60</f>
        <v>22</v>
      </c>
      <c r="Q23" s="14" t="s">
        <v>41</v>
      </c>
      <c r="R23" s="21">
        <v>22</v>
      </c>
      <c r="S23" s="14" t="s">
        <v>22</v>
      </c>
    </row>
    <row r="24" spans="1:19" x14ac:dyDescent="0.2">
      <c r="A24" s="10" t="s">
        <v>71</v>
      </c>
      <c r="B24" s="12">
        <f>'General Parameters'!B25</f>
        <v>43660.32916666667</v>
      </c>
      <c r="C24" s="13">
        <f t="shared" si="4"/>
        <v>120.40000000008149</v>
      </c>
      <c r="D24" s="19"/>
      <c r="E24" s="13"/>
      <c r="F24" s="53">
        <f>(C24-C23)*60*$L$31</f>
        <v>38.817225000396519</v>
      </c>
      <c r="G24" s="70">
        <f>(C24-C23)*60*$L$29</f>
        <v>25.878150000264341</v>
      </c>
      <c r="H24" s="53">
        <f>(C24-C23)*60*$L$30</f>
        <v>12.939075000132171</v>
      </c>
      <c r="I24" s="53">
        <f>G24</f>
        <v>25.878150000264341</v>
      </c>
      <c r="K24" s="11"/>
      <c r="L24" s="11"/>
      <c r="M24" s="11"/>
      <c r="N24" s="11"/>
      <c r="O24" s="11"/>
      <c r="Q24" s="14" t="s">
        <v>42</v>
      </c>
      <c r="R24" s="14">
        <f>1/R23/60</f>
        <v>7.5757575757575758E-4</v>
      </c>
      <c r="S24" s="14" t="s">
        <v>15</v>
      </c>
    </row>
    <row r="25" spans="1:19" x14ac:dyDescent="0.2">
      <c r="A25" s="10" t="s">
        <v>72</v>
      </c>
      <c r="B25" s="12">
        <f>'General Parameters'!B26</f>
        <v>43660.836111111108</v>
      </c>
      <c r="C25" s="13">
        <f t="shared" si="4"/>
        <v>132.56666666659294</v>
      </c>
      <c r="D25" s="19"/>
      <c r="E25" s="13"/>
      <c r="F25" s="53">
        <f t="shared" ref="F25:F40" si="5">(C25-C24)*60*$L$31</f>
        <v>42.869249999453082</v>
      </c>
      <c r="G25" s="70">
        <f t="shared" ref="G25:G40" si="6">(C25-C24)*60*$L$29</f>
        <v>28.579499999635384</v>
      </c>
      <c r="H25" s="53">
        <f t="shared" ref="H25:H40" si="7">(C25-C24)*60*$L$30</f>
        <v>14.289749999817692</v>
      </c>
      <c r="I25" s="53">
        <f t="shared" ref="I25:I40" si="8">G25</f>
        <v>28.579499999635384</v>
      </c>
      <c r="K25" s="11" t="s">
        <v>28</v>
      </c>
      <c r="L25" s="11">
        <v>90</v>
      </c>
      <c r="M25" s="11" t="s">
        <v>20</v>
      </c>
      <c r="N25" s="11"/>
      <c r="O25" s="11"/>
      <c r="Q25" s="14" t="s">
        <v>43</v>
      </c>
      <c r="R25" s="14">
        <f>L31/R24</f>
        <v>77.516999999999996</v>
      </c>
      <c r="S25" s="14" t="s">
        <v>44</v>
      </c>
    </row>
    <row r="26" spans="1:19" x14ac:dyDescent="0.2">
      <c r="A26" s="10" t="s">
        <v>73</v>
      </c>
      <c r="B26" s="12">
        <f>'General Parameters'!B27</f>
        <v>43661.379861111112</v>
      </c>
      <c r="C26" s="13">
        <f t="shared" si="4"/>
        <v>145.61666666669771</v>
      </c>
      <c r="D26" s="19"/>
      <c r="E26" s="13"/>
      <c r="F26" s="53">
        <f t="shared" si="5"/>
        <v>45.981675000369172</v>
      </c>
      <c r="G26" s="70">
        <f t="shared" si="6"/>
        <v>30.654450000246111</v>
      </c>
      <c r="H26" s="53">
        <f t="shared" si="7"/>
        <v>15.327225000123056</v>
      </c>
      <c r="I26" s="53">
        <f t="shared" si="8"/>
        <v>30.654450000246111</v>
      </c>
      <c r="K26" s="11" t="s">
        <v>29</v>
      </c>
      <c r="L26" s="11">
        <f>L31/K23</f>
        <v>77.516999999999996</v>
      </c>
      <c r="M26" s="11" t="s">
        <v>20</v>
      </c>
      <c r="N26" s="11"/>
      <c r="O26" s="11"/>
    </row>
    <row r="27" spans="1:19" x14ac:dyDescent="0.2">
      <c r="A27" s="10" t="s">
        <v>74</v>
      </c>
      <c r="B27" s="12">
        <f>'General Parameters'!B28</f>
        <v>43661.84652777778</v>
      </c>
      <c r="C27" s="13">
        <f t="shared" si="4"/>
        <v>156.81666666670935</v>
      </c>
      <c r="D27" s="19"/>
      <c r="E27" s="13"/>
      <c r="F27" s="53">
        <f t="shared" si="5"/>
        <v>39.46320000004102</v>
      </c>
      <c r="G27" s="70">
        <f t="shared" si="6"/>
        <v>26.308800000027343</v>
      </c>
      <c r="H27" s="53">
        <f t="shared" si="7"/>
        <v>13.154400000013672</v>
      </c>
      <c r="I27" s="53">
        <f t="shared" si="8"/>
        <v>26.308800000027343</v>
      </c>
      <c r="K27" s="11"/>
      <c r="L27" s="11"/>
      <c r="M27" s="11"/>
      <c r="N27" s="11"/>
      <c r="O27" s="11"/>
    </row>
    <row r="28" spans="1:19" x14ac:dyDescent="0.2">
      <c r="A28" s="10" t="s">
        <v>75</v>
      </c>
      <c r="B28" s="12">
        <f>'General Parameters'!B29</f>
        <v>43662.381249999999</v>
      </c>
      <c r="C28" s="13">
        <f t="shared" ref="C28:C35" si="9">(B28-B27)*24+C27</f>
        <v>169.64999999996508</v>
      </c>
      <c r="D28" s="19"/>
      <c r="E28" s="13"/>
      <c r="F28" s="53">
        <f t="shared" si="5"/>
        <v>45.218249999726538</v>
      </c>
      <c r="G28" s="70">
        <f t="shared" si="6"/>
        <v>30.145499999817691</v>
      </c>
      <c r="H28" s="53">
        <f t="shared" si="7"/>
        <v>15.072749999908845</v>
      </c>
      <c r="I28" s="53">
        <f t="shared" si="8"/>
        <v>30.145499999817691</v>
      </c>
      <c r="K28" s="20" t="s">
        <v>30</v>
      </c>
      <c r="L28" s="11">
        <f>L21*L25</f>
        <v>3.9149999999999997E-2</v>
      </c>
      <c r="M28" s="11" t="s">
        <v>16</v>
      </c>
      <c r="N28" s="11"/>
      <c r="O28" s="11"/>
    </row>
    <row r="29" spans="1:19" x14ac:dyDescent="0.2">
      <c r="A29" s="10" t="s">
        <v>76</v>
      </c>
      <c r="B29" s="12">
        <f>'General Parameters'!B30</f>
        <v>43662.852083333331</v>
      </c>
      <c r="C29" s="13">
        <f t="shared" si="9"/>
        <v>180.94999999995343</v>
      </c>
      <c r="D29" s="19"/>
      <c r="E29" s="13"/>
      <c r="F29" s="53">
        <f t="shared" si="5"/>
        <v>39.815549999958982</v>
      </c>
      <c r="G29" s="70">
        <f t="shared" si="6"/>
        <v>26.543699999972652</v>
      </c>
      <c r="H29" s="53">
        <f t="shared" si="7"/>
        <v>13.271849999986326</v>
      </c>
      <c r="I29" s="53">
        <f t="shared" si="8"/>
        <v>26.543699999972652</v>
      </c>
      <c r="K29" s="21" t="s">
        <v>31</v>
      </c>
      <c r="L29" s="14">
        <f>L28</f>
        <v>3.9149999999999997E-2</v>
      </c>
      <c r="M29" s="11" t="s">
        <v>16</v>
      </c>
    </row>
    <row r="30" spans="1:19" x14ac:dyDescent="0.2">
      <c r="A30" s="10" t="s">
        <v>77</v>
      </c>
      <c r="B30" s="12">
        <f>'General Parameters'!B31</f>
        <v>43663.369444444441</v>
      </c>
      <c r="C30" s="13">
        <f t="shared" si="9"/>
        <v>193.3666666665813</v>
      </c>
      <c r="D30" s="19"/>
      <c r="E30" s="13"/>
      <c r="F30" s="53">
        <f t="shared" si="5"/>
        <v>43.750124999863267</v>
      </c>
      <c r="G30" s="70">
        <f t="shared" si="6"/>
        <v>29.166749999908845</v>
      </c>
      <c r="H30" s="53">
        <f t="shared" si="7"/>
        <v>14.583374999954422</v>
      </c>
      <c r="I30" s="53">
        <f t="shared" si="8"/>
        <v>29.166749999908845</v>
      </c>
      <c r="K30" s="21" t="s">
        <v>32</v>
      </c>
      <c r="L30" s="14">
        <f>0.5*L29</f>
        <v>1.9574999999999999E-2</v>
      </c>
      <c r="M30" s="11" t="s">
        <v>16</v>
      </c>
      <c r="N30" s="14" t="s">
        <v>33</v>
      </c>
    </row>
    <row r="31" spans="1:19" x14ac:dyDescent="0.2">
      <c r="A31" s="10" t="s">
        <v>78</v>
      </c>
      <c r="B31" s="12">
        <f>'General Parameters'!B32</f>
        <v>43663.865972222222</v>
      </c>
      <c r="C31" s="13">
        <f t="shared" si="9"/>
        <v>205.28333333332557</v>
      </c>
      <c r="D31" s="19"/>
      <c r="E31" s="13"/>
      <c r="F31" s="53">
        <f t="shared" si="5"/>
        <v>41.988375000273457</v>
      </c>
      <c r="G31" s="70">
        <f t="shared" si="6"/>
        <v>27.992250000182306</v>
      </c>
      <c r="H31" s="53">
        <f t="shared" si="7"/>
        <v>13.996125000091153</v>
      </c>
      <c r="I31" s="53">
        <f t="shared" si="8"/>
        <v>27.992250000182306</v>
      </c>
      <c r="K31" s="21" t="s">
        <v>34</v>
      </c>
      <c r="L31" s="14">
        <f>L30+L28</f>
        <v>5.8724999999999999E-2</v>
      </c>
      <c r="M31" s="14" t="s">
        <v>16</v>
      </c>
    </row>
    <row r="32" spans="1:19" x14ac:dyDescent="0.2">
      <c r="A32" s="10" t="s">
        <v>79</v>
      </c>
      <c r="B32" s="12">
        <f>'General Parameters'!B33</f>
        <v>43664.340277777781</v>
      </c>
      <c r="C32" s="13">
        <f t="shared" si="9"/>
        <v>216.66666666674428</v>
      </c>
      <c r="D32" s="19"/>
      <c r="E32" s="13"/>
      <c r="F32" s="53">
        <f t="shared" si="5"/>
        <v>40.109175000300802</v>
      </c>
      <c r="G32" s="70">
        <f t="shared" si="6"/>
        <v>26.739450000200534</v>
      </c>
      <c r="H32" s="53">
        <f t="shared" si="7"/>
        <v>13.369725000100267</v>
      </c>
      <c r="I32" s="53">
        <f t="shared" si="8"/>
        <v>26.739450000200534</v>
      </c>
    </row>
    <row r="33" spans="1:15" x14ac:dyDescent="0.2">
      <c r="A33" s="10" t="s">
        <v>80</v>
      </c>
      <c r="B33" s="12">
        <f>'General Parameters'!B34</f>
        <v>43664.791666666664</v>
      </c>
      <c r="C33" s="13">
        <f t="shared" si="9"/>
        <v>227.49999999994179</v>
      </c>
      <c r="D33" s="19"/>
      <c r="E33" s="13"/>
      <c r="F33" s="53">
        <f t="shared" si="5"/>
        <v>38.171249999521443</v>
      </c>
      <c r="G33" s="70">
        <f t="shared" si="6"/>
        <v>25.447499999680961</v>
      </c>
      <c r="H33" s="53">
        <f t="shared" si="7"/>
        <v>12.72374999984048</v>
      </c>
      <c r="I33" s="53">
        <f t="shared" si="8"/>
        <v>25.447499999680961</v>
      </c>
      <c r="O33" s="14">
        <f>L30/L29</f>
        <v>0.5</v>
      </c>
    </row>
    <row r="34" spans="1:15" x14ac:dyDescent="0.2">
      <c r="A34" s="10" t="s">
        <v>81</v>
      </c>
      <c r="B34" s="12">
        <f>'General Parameters'!B35</f>
        <v>43665.329861111109</v>
      </c>
      <c r="C34" s="13">
        <f t="shared" si="9"/>
        <v>240.41666666662786</v>
      </c>
      <c r="D34" s="19"/>
      <c r="E34" s="13"/>
      <c r="F34" s="53">
        <f t="shared" si="5"/>
        <v>45.511875000068365</v>
      </c>
      <c r="G34" s="70">
        <f t="shared" si="6"/>
        <v>30.341250000045573</v>
      </c>
      <c r="H34" s="53">
        <f t="shared" si="7"/>
        <v>15.170625000022786</v>
      </c>
      <c r="I34" s="53">
        <f t="shared" si="8"/>
        <v>30.341250000045573</v>
      </c>
    </row>
    <row r="35" spans="1:15" x14ac:dyDescent="0.2">
      <c r="A35" s="10" t="s">
        <v>82</v>
      </c>
      <c r="B35" s="12">
        <f>'General Parameters'!B36</f>
        <v>43665.791666666664</v>
      </c>
      <c r="C35" s="13">
        <f t="shared" si="9"/>
        <v>251.49999999994179</v>
      </c>
      <c r="D35" s="19"/>
      <c r="E35" s="13"/>
      <c r="F35" s="53">
        <f t="shared" si="5"/>
        <v>39.052124999931635</v>
      </c>
      <c r="G35" s="70">
        <f t="shared" si="6"/>
        <v>26.034749999954421</v>
      </c>
      <c r="H35" s="53">
        <f t="shared" si="7"/>
        <v>13.017374999977211</v>
      </c>
      <c r="I35" s="53">
        <f t="shared" si="8"/>
        <v>26.034749999954421</v>
      </c>
      <c r="K35" s="14" t="s">
        <v>39</v>
      </c>
    </row>
    <row r="36" spans="1:15" x14ac:dyDescent="0.2">
      <c r="A36" s="10" t="s">
        <v>83</v>
      </c>
      <c r="B36" s="12">
        <f>'General Parameters'!B37</f>
        <v>43666.340277777781</v>
      </c>
      <c r="C36" s="13">
        <f t="shared" ref="C36:C39" si="10">(B36-B35)*24+C35</f>
        <v>264.66666666674428</v>
      </c>
      <c r="D36" s="19"/>
      <c r="E36" s="13"/>
      <c r="F36" s="53">
        <f t="shared" si="5"/>
        <v>46.392750000478557</v>
      </c>
      <c r="G36" s="70">
        <f t="shared" si="6"/>
        <v>30.928500000319033</v>
      </c>
      <c r="H36" s="53">
        <f t="shared" si="7"/>
        <v>15.464250000159517</v>
      </c>
      <c r="I36" s="53">
        <f t="shared" si="8"/>
        <v>30.928500000319033</v>
      </c>
      <c r="K36" s="68" t="s">
        <v>157</v>
      </c>
    </row>
    <row r="37" spans="1:15" x14ac:dyDescent="0.2">
      <c r="A37" s="10" t="s">
        <v>84</v>
      </c>
      <c r="B37" s="12">
        <f>'General Parameters'!B38</f>
        <v>43666.79583333333</v>
      </c>
      <c r="C37" s="13">
        <f t="shared" si="10"/>
        <v>275.59999999991851</v>
      </c>
      <c r="D37" s="19"/>
      <c r="E37" s="13"/>
      <c r="F37" s="53">
        <f t="shared" si="5"/>
        <v>38.523599999439405</v>
      </c>
      <c r="G37" s="70">
        <f t="shared" si="6"/>
        <v>25.68239999962627</v>
      </c>
      <c r="H37" s="53">
        <f t="shared" si="7"/>
        <v>12.841199999813135</v>
      </c>
      <c r="I37" s="53">
        <f t="shared" si="8"/>
        <v>25.68239999962627</v>
      </c>
    </row>
    <row r="38" spans="1:15" x14ac:dyDescent="0.2">
      <c r="A38" s="10" t="s">
        <v>85</v>
      </c>
      <c r="B38" s="12">
        <f>'General Parameters'!B39</f>
        <v>43667.343055555553</v>
      </c>
      <c r="C38" s="13">
        <f t="shared" si="10"/>
        <v>288.73333333327901</v>
      </c>
      <c r="D38" s="19"/>
      <c r="E38" s="13"/>
      <c r="F38" s="53">
        <f t="shared" si="5"/>
        <v>46.275300000095712</v>
      </c>
      <c r="G38" s="70">
        <f t="shared" si="6"/>
        <v>30.850200000063804</v>
      </c>
      <c r="H38" s="53">
        <f t="shared" si="7"/>
        <v>15.425100000031902</v>
      </c>
      <c r="I38" s="53">
        <f t="shared" si="8"/>
        <v>30.850200000063804</v>
      </c>
    </row>
    <row r="39" spans="1:15" x14ac:dyDescent="0.2">
      <c r="A39" s="10" t="s">
        <v>86</v>
      </c>
      <c r="B39" s="12">
        <f>'General Parameters'!B40</f>
        <v>43667.803472222222</v>
      </c>
      <c r="C39" s="13">
        <f t="shared" si="10"/>
        <v>299.78333333332557</v>
      </c>
      <c r="D39" s="19"/>
      <c r="E39" s="13"/>
      <c r="F39" s="53">
        <f t="shared" si="5"/>
        <v>38.934675000164077</v>
      </c>
      <c r="G39" s="70">
        <f t="shared" si="6"/>
        <v>25.956450000109381</v>
      </c>
      <c r="H39" s="53">
        <f t="shared" si="7"/>
        <v>12.978225000054691</v>
      </c>
      <c r="I39" s="53">
        <f t="shared" si="8"/>
        <v>25.956450000109381</v>
      </c>
    </row>
    <row r="40" spans="1:15" x14ac:dyDescent="0.2">
      <c r="A40" s="10" t="s">
        <v>87</v>
      </c>
      <c r="B40" s="12">
        <f>'General Parameters'!B41</f>
        <v>43668.338194444441</v>
      </c>
      <c r="C40" s="13">
        <f t="shared" ref="C40" si="11">(B40-B39)*24+C39</f>
        <v>312.6166666665813</v>
      </c>
      <c r="D40" s="19"/>
      <c r="E40" s="13"/>
      <c r="F40" s="53">
        <f t="shared" si="5"/>
        <v>45.218249999726538</v>
      </c>
      <c r="G40" s="70">
        <f t="shared" si="6"/>
        <v>30.145499999817691</v>
      </c>
      <c r="H40" s="53">
        <f t="shared" si="7"/>
        <v>15.072749999908845</v>
      </c>
      <c r="I40" s="53">
        <f t="shared" si="8"/>
        <v>30.145499999817691</v>
      </c>
    </row>
    <row r="41" spans="1:15" x14ac:dyDescent="0.2">
      <c r="A41" s="10" t="s">
        <v>88</v>
      </c>
      <c r="B41" s="12">
        <f>'General Parameters'!B42</f>
        <v>43668.796527777777</v>
      </c>
      <c r="C41" s="13">
        <f t="shared" ref="C41:C47" si="12">(B41-B40)*24+C40</f>
        <v>323.6166666666395</v>
      </c>
      <c r="D41" s="19"/>
      <c r="E41" s="13"/>
      <c r="F41" s="53">
        <f t="shared" ref="F41:F47" si="13">(C41-C40)*60*$L$31</f>
        <v>38.758500000205096</v>
      </c>
      <c r="G41" s="70">
        <f t="shared" ref="G41:G47" si="14">(C41-C40)*60*$L$29</f>
        <v>25.839000000136728</v>
      </c>
      <c r="H41" s="53">
        <f t="shared" ref="H41:H47" si="15">(C41-C40)*60*$L$30</f>
        <v>12.919500000068364</v>
      </c>
      <c r="I41" s="53">
        <f t="shared" ref="I41:I47" si="16">G41</f>
        <v>25.839000000136728</v>
      </c>
    </row>
    <row r="42" spans="1:15" x14ac:dyDescent="0.2">
      <c r="A42" s="10" t="s">
        <v>89</v>
      </c>
      <c r="B42" s="12">
        <f>'General Parameters'!B43</f>
        <v>43669.34652777778</v>
      </c>
      <c r="C42" s="13">
        <f t="shared" si="12"/>
        <v>336.81666666670935</v>
      </c>
      <c r="D42" s="19"/>
      <c r="E42" s="13"/>
      <c r="F42" s="53">
        <f t="shared" si="13"/>
        <v>46.510200000246115</v>
      </c>
      <c r="G42" s="70">
        <f t="shared" si="14"/>
        <v>31.006800000164073</v>
      </c>
      <c r="H42" s="53">
        <f t="shared" si="15"/>
        <v>15.503400000082037</v>
      </c>
      <c r="I42" s="53">
        <f t="shared" si="16"/>
        <v>31.006800000164073</v>
      </c>
    </row>
    <row r="43" spans="1:15" x14ac:dyDescent="0.2">
      <c r="A43" s="10" t="s">
        <v>90</v>
      </c>
      <c r="B43" s="12">
        <f>'General Parameters'!B44</f>
        <v>43669.807638888888</v>
      </c>
      <c r="C43" s="13">
        <f t="shared" si="12"/>
        <v>347.88333333330229</v>
      </c>
      <c r="D43" s="19"/>
      <c r="E43" s="13"/>
      <c r="F43" s="53">
        <f t="shared" si="13"/>
        <v>38.993399999740213</v>
      </c>
      <c r="G43" s="70">
        <f t="shared" si="14"/>
        <v>25.995599999826808</v>
      </c>
      <c r="H43" s="53">
        <f t="shared" si="15"/>
        <v>12.997799999913404</v>
      </c>
      <c r="I43" s="53">
        <f>G43</f>
        <v>25.995599999826808</v>
      </c>
    </row>
    <row r="44" spans="1:15" x14ac:dyDescent="0.2">
      <c r="A44" s="10" t="s">
        <v>91</v>
      </c>
      <c r="B44" s="12">
        <f>'General Parameters'!B45</f>
        <v>43670.349305555559</v>
      </c>
      <c r="C44" s="13">
        <f t="shared" si="12"/>
        <v>360.8833333334187</v>
      </c>
      <c r="D44" s="19"/>
      <c r="E44" s="13"/>
      <c r="F44" s="53">
        <f t="shared" si="13"/>
        <v>45.805500000410191</v>
      </c>
      <c r="G44" s="70">
        <f t="shared" si="14"/>
        <v>30.537000000273459</v>
      </c>
      <c r="H44" s="53">
        <f t="shared" si="15"/>
        <v>15.268500000136729</v>
      </c>
      <c r="I44" s="53">
        <f t="shared" si="16"/>
        <v>30.537000000273459</v>
      </c>
    </row>
    <row r="45" spans="1:15" x14ac:dyDescent="0.2">
      <c r="A45" s="10" t="s">
        <v>92</v>
      </c>
      <c r="B45" s="12">
        <f>'General Parameters'!B46</f>
        <v>43670.877083333333</v>
      </c>
      <c r="C45" s="13">
        <f t="shared" si="12"/>
        <v>373.54999999998836</v>
      </c>
      <c r="D45" s="19"/>
      <c r="E45" s="13"/>
      <c r="F45" s="53">
        <f t="shared" si="13"/>
        <v>44.630999999658172</v>
      </c>
      <c r="G45" s="70">
        <f t="shared" si="14"/>
        <v>29.753999999772116</v>
      </c>
      <c r="H45" s="53">
        <f t="shared" si="15"/>
        <v>14.876999999886058</v>
      </c>
      <c r="I45" s="53">
        <f t="shared" si="16"/>
        <v>29.753999999772116</v>
      </c>
    </row>
    <row r="46" spans="1:15" x14ac:dyDescent="0.2">
      <c r="A46" s="10" t="s">
        <v>94</v>
      </c>
      <c r="B46" s="12">
        <f>'General Parameters'!B47</f>
        <v>43671.363888888889</v>
      </c>
      <c r="C46" s="13">
        <f t="shared" si="12"/>
        <v>385.23333333333721</v>
      </c>
      <c r="D46" s="19"/>
      <c r="E46" s="13"/>
      <c r="F46" s="53">
        <f t="shared" si="13"/>
        <v>41.166225000054695</v>
      </c>
      <c r="G46" s="70">
        <f t="shared" si="14"/>
        <v>27.444150000036458</v>
      </c>
      <c r="H46" s="53">
        <f t="shared" si="15"/>
        <v>13.722075000018229</v>
      </c>
      <c r="I46" s="53">
        <f t="shared" si="16"/>
        <v>27.444150000036458</v>
      </c>
    </row>
    <row r="47" spans="1:15" x14ac:dyDescent="0.2">
      <c r="A47" s="10" t="s">
        <v>95</v>
      </c>
      <c r="B47" s="12">
        <f>'General Parameters'!B48</f>
        <v>43671.811805555553</v>
      </c>
      <c r="C47" s="13">
        <f t="shared" si="12"/>
        <v>395.98333333327901</v>
      </c>
      <c r="D47" s="19"/>
      <c r="E47" s="13"/>
      <c r="F47" s="53">
        <f t="shared" si="13"/>
        <v>37.877624999794904</v>
      </c>
      <c r="G47" s="70">
        <f t="shared" si="14"/>
        <v>25.251749999863268</v>
      </c>
      <c r="H47" s="53">
        <f t="shared" si="15"/>
        <v>12.625874999931634</v>
      </c>
      <c r="I47" s="53">
        <f t="shared" si="16"/>
        <v>25.251749999863268</v>
      </c>
    </row>
    <row r="48" spans="1:15" x14ac:dyDescent="0.2">
      <c r="A48" s="10" t="s">
        <v>96</v>
      </c>
      <c r="B48" s="12">
        <f>'General Parameters'!B49</f>
        <v>43672.350694444445</v>
      </c>
      <c r="C48" s="13">
        <f t="shared" ref="C48:C60" si="17">(B48-B47)*24+C47</f>
        <v>408.91666666668607</v>
      </c>
      <c r="D48" s="19"/>
      <c r="E48" s="13"/>
      <c r="F48" s="53">
        <f t="shared" ref="F48:F60" si="18">(C48-C47)*60*$L$31</f>
        <v>45.570600000259788</v>
      </c>
      <c r="G48" s="70">
        <f t="shared" ref="G48:G60" si="19">(C48-C47)*60*$L$29</f>
        <v>30.380400000173189</v>
      </c>
      <c r="H48" s="53">
        <f t="shared" ref="H48:H60" si="20">(C48-C47)*60*$L$30</f>
        <v>15.190200000086595</v>
      </c>
      <c r="I48" s="53">
        <f t="shared" ref="I48:I60" si="21">G48</f>
        <v>30.380400000173189</v>
      </c>
    </row>
    <row r="49" spans="1:9" x14ac:dyDescent="0.2">
      <c r="A49" s="10" t="s">
        <v>97</v>
      </c>
      <c r="B49" s="12">
        <f>'General Parameters'!B50</f>
        <v>43672.824305555558</v>
      </c>
      <c r="C49" s="13">
        <f t="shared" si="17"/>
        <v>420.28333333338378</v>
      </c>
      <c r="D49" s="19"/>
      <c r="E49" s="13"/>
      <c r="F49" s="53">
        <f t="shared" si="18"/>
        <v>40.050450000109386</v>
      </c>
      <c r="G49" s="70">
        <f t="shared" si="19"/>
        <v>26.700300000072922</v>
      </c>
      <c r="H49" s="53">
        <f t="shared" si="20"/>
        <v>13.350150000036461</v>
      </c>
      <c r="I49" s="53">
        <f t="shared" si="21"/>
        <v>26.700300000072922</v>
      </c>
    </row>
    <row r="50" spans="1:9" x14ac:dyDescent="0.2">
      <c r="A50" s="10" t="s">
        <v>98</v>
      </c>
      <c r="B50" s="12">
        <f>'General Parameters'!B51</f>
        <v>43673.388194444444</v>
      </c>
      <c r="C50" s="13">
        <f t="shared" si="17"/>
        <v>433.81666666665114</v>
      </c>
      <c r="D50" s="19"/>
      <c r="E50" s="13"/>
      <c r="F50" s="53">
        <f t="shared" si="18"/>
        <v>47.68469999976756</v>
      </c>
      <c r="G50" s="70">
        <f t="shared" si="19"/>
        <v>31.789799999845037</v>
      </c>
      <c r="H50" s="53">
        <f t="shared" si="20"/>
        <v>15.894899999922519</v>
      </c>
      <c r="I50" s="53">
        <f t="shared" si="21"/>
        <v>31.789799999845037</v>
      </c>
    </row>
    <row r="51" spans="1:9" x14ac:dyDescent="0.2">
      <c r="A51" s="10" t="s">
        <v>99</v>
      </c>
      <c r="B51" s="12">
        <f>'General Parameters'!B52</f>
        <v>43673.85833333333</v>
      </c>
      <c r="C51" s="13">
        <f t="shared" si="17"/>
        <v>445.09999999991851</v>
      </c>
      <c r="D51" s="19"/>
      <c r="E51" s="13"/>
      <c r="F51" s="53">
        <f t="shared" si="18"/>
        <v>39.756824999767559</v>
      </c>
      <c r="G51" s="70">
        <f t="shared" si="19"/>
        <v>26.504549999845036</v>
      </c>
      <c r="H51" s="53">
        <f t="shared" si="20"/>
        <v>13.252274999922518</v>
      </c>
      <c r="I51" s="53">
        <f t="shared" si="21"/>
        <v>26.504549999845036</v>
      </c>
    </row>
    <row r="52" spans="1:9" x14ac:dyDescent="0.2">
      <c r="A52" s="10" t="s">
        <v>100</v>
      </c>
      <c r="B52" s="12">
        <f>'General Parameters'!B53</f>
        <v>43674.341666666667</v>
      </c>
      <c r="C52" s="13">
        <f t="shared" si="17"/>
        <v>456.70000000001164</v>
      </c>
      <c r="D52" s="19"/>
      <c r="E52" s="13"/>
      <c r="F52" s="53">
        <f t="shared" si="18"/>
        <v>40.872600000328148</v>
      </c>
      <c r="G52" s="70">
        <f t="shared" si="19"/>
        <v>27.248400000218766</v>
      </c>
      <c r="H52" s="53">
        <f t="shared" si="20"/>
        <v>13.624200000109383</v>
      </c>
      <c r="I52" s="53">
        <f t="shared" si="21"/>
        <v>27.248400000218766</v>
      </c>
    </row>
    <row r="53" spans="1:9" x14ac:dyDescent="0.2">
      <c r="A53" s="10" t="s">
        <v>101</v>
      </c>
      <c r="B53" s="12">
        <f>'General Parameters'!B54</f>
        <v>43674.823611111111</v>
      </c>
      <c r="C53" s="13">
        <f t="shared" si="17"/>
        <v>468.26666666666279</v>
      </c>
      <c r="D53" s="19"/>
      <c r="E53" s="13"/>
      <c r="F53" s="53">
        <f t="shared" si="18"/>
        <v>40.75514999994531</v>
      </c>
      <c r="G53" s="70">
        <f t="shared" si="19"/>
        <v>27.170099999963536</v>
      </c>
      <c r="H53" s="53">
        <f t="shared" si="20"/>
        <v>13.585049999981768</v>
      </c>
      <c r="I53" s="53">
        <f t="shared" si="21"/>
        <v>27.170099999963536</v>
      </c>
    </row>
    <row r="54" spans="1:9" x14ac:dyDescent="0.2">
      <c r="A54" s="10" t="s">
        <v>102</v>
      </c>
      <c r="B54" s="12">
        <f>'General Parameters'!B55</f>
        <v>43675.377083333333</v>
      </c>
      <c r="C54" s="13">
        <f t="shared" si="17"/>
        <v>481.54999999998836</v>
      </c>
      <c r="D54" s="19"/>
      <c r="E54" s="13"/>
      <c r="F54" s="53">
        <f t="shared" si="18"/>
        <v>46.803824999972655</v>
      </c>
      <c r="G54" s="70">
        <f t="shared" si="19"/>
        <v>31.202549999981766</v>
      </c>
      <c r="H54" s="53">
        <f t="shared" si="20"/>
        <v>15.601274999990883</v>
      </c>
      <c r="I54" s="53">
        <f t="shared" si="21"/>
        <v>31.202549999981766</v>
      </c>
    </row>
    <row r="55" spans="1:9" x14ac:dyDescent="0.2">
      <c r="A55" s="10" t="s">
        <v>103</v>
      </c>
      <c r="B55" s="12">
        <f>'General Parameters'!B56</f>
        <v>43675.824305555558</v>
      </c>
      <c r="C55" s="13">
        <f t="shared" si="17"/>
        <v>492.28333333338378</v>
      </c>
      <c r="D55" s="19"/>
      <c r="E55" s="13"/>
      <c r="F55" s="53">
        <f t="shared" si="18"/>
        <v>37.818900000218768</v>
      </c>
      <c r="G55" s="70">
        <f t="shared" si="19"/>
        <v>25.212600000145844</v>
      </c>
      <c r="H55" s="53">
        <f t="shared" si="20"/>
        <v>12.606300000072922</v>
      </c>
      <c r="I55" s="53">
        <f t="shared" si="21"/>
        <v>25.212600000145844</v>
      </c>
    </row>
    <row r="56" spans="1:9" x14ac:dyDescent="0.2">
      <c r="A56" s="10" t="s">
        <v>104</v>
      </c>
      <c r="B56" s="12">
        <f>'General Parameters'!B57</f>
        <v>43676.357638888891</v>
      </c>
      <c r="C56" s="13">
        <f t="shared" si="17"/>
        <v>505.08333333337214</v>
      </c>
      <c r="D56" s="19"/>
      <c r="E56" s="13"/>
      <c r="F56" s="53">
        <f t="shared" si="18"/>
        <v>45.10079999995898</v>
      </c>
      <c r="G56" s="70">
        <f t="shared" si="19"/>
        <v>30.067199999972651</v>
      </c>
      <c r="H56" s="53">
        <f t="shared" si="20"/>
        <v>15.033599999986325</v>
      </c>
      <c r="I56" s="53">
        <f t="shared" si="21"/>
        <v>30.067199999972651</v>
      </c>
    </row>
    <row r="57" spans="1:9" x14ac:dyDescent="0.2">
      <c r="A57" s="10" t="s">
        <v>105</v>
      </c>
      <c r="B57" s="12">
        <f>'General Parameters'!B58</f>
        <v>43676.852777777778</v>
      </c>
      <c r="C57" s="13">
        <f t="shared" si="17"/>
        <v>516.96666666667443</v>
      </c>
      <c r="D57" s="19"/>
      <c r="E57" s="13"/>
      <c r="F57" s="53">
        <f t="shared" si="18"/>
        <v>41.870924999890619</v>
      </c>
      <c r="G57" s="70">
        <f t="shared" si="19"/>
        <v>27.913949999927077</v>
      </c>
      <c r="H57" s="53">
        <f t="shared" si="20"/>
        <v>13.956974999963538</v>
      </c>
      <c r="I57" s="53">
        <f t="shared" si="21"/>
        <v>27.913949999927077</v>
      </c>
    </row>
    <row r="58" spans="1:9" x14ac:dyDescent="0.2">
      <c r="A58" s="10" t="s">
        <v>106</v>
      </c>
      <c r="B58" s="12">
        <f>'General Parameters'!B59</f>
        <v>43677.367361111108</v>
      </c>
      <c r="C58" s="13">
        <f t="shared" si="17"/>
        <v>529.31666666659294</v>
      </c>
      <c r="D58" s="19"/>
      <c r="E58" s="13"/>
      <c r="F58" s="53">
        <f t="shared" si="18"/>
        <v>43.515224999712864</v>
      </c>
      <c r="G58" s="70">
        <f t="shared" si="19"/>
        <v>29.010149999808576</v>
      </c>
      <c r="H58" s="53">
        <f t="shared" si="20"/>
        <v>14.505074999904288</v>
      </c>
      <c r="I58" s="53">
        <f t="shared" si="21"/>
        <v>29.010149999808576</v>
      </c>
    </row>
    <row r="59" spans="1:9" x14ac:dyDescent="0.2">
      <c r="A59" s="10" t="s">
        <v>107</v>
      </c>
      <c r="B59" s="12">
        <f>'General Parameters'!B60</f>
        <v>43677.820138888892</v>
      </c>
      <c r="C59" s="13">
        <f t="shared" si="17"/>
        <v>540.18333333340706</v>
      </c>
      <c r="D59" s="19"/>
      <c r="E59" s="13"/>
      <c r="F59" s="53">
        <f t="shared" si="18"/>
        <v>38.288700000519576</v>
      </c>
      <c r="G59" s="70">
        <f t="shared" si="19"/>
        <v>25.525800000346379</v>
      </c>
      <c r="H59" s="53">
        <f t="shared" si="20"/>
        <v>12.76290000017319</v>
      </c>
      <c r="I59" s="53">
        <f t="shared" si="21"/>
        <v>25.525800000346379</v>
      </c>
    </row>
    <row r="60" spans="1:9" x14ac:dyDescent="0.2">
      <c r="A60" s="10" t="s">
        <v>108</v>
      </c>
      <c r="B60" s="12">
        <f>'General Parameters'!B61</f>
        <v>43678.371527777781</v>
      </c>
      <c r="C60" s="13">
        <f t="shared" si="17"/>
        <v>553.41666666674428</v>
      </c>
      <c r="D60" s="19"/>
      <c r="E60" s="13"/>
      <c r="F60" s="53">
        <f t="shared" si="18"/>
        <v>46.627650000013674</v>
      </c>
      <c r="G60" s="70">
        <f t="shared" si="19"/>
        <v>31.085100000009113</v>
      </c>
      <c r="H60" s="53">
        <f t="shared" si="20"/>
        <v>15.542550000004557</v>
      </c>
      <c r="I60" s="53">
        <f t="shared" si="21"/>
        <v>31.085100000009113</v>
      </c>
    </row>
    <row r="61" spans="1:9" x14ac:dyDescent="0.2">
      <c r="A61" s="10" t="s">
        <v>109</v>
      </c>
      <c r="B61" s="12"/>
      <c r="C61" s="13"/>
      <c r="D61" s="13"/>
      <c r="E61" s="13"/>
      <c r="F61" s="18"/>
      <c r="G61" s="18"/>
      <c r="H61" s="18"/>
      <c r="I61" s="18"/>
    </row>
    <row r="62" spans="1:9" x14ac:dyDescent="0.2">
      <c r="A62" s="10" t="s">
        <v>110</v>
      </c>
      <c r="B62" s="12"/>
      <c r="C62" s="13"/>
      <c r="D62" s="13"/>
      <c r="E62" s="13"/>
      <c r="F62" s="18"/>
      <c r="G62" s="18"/>
      <c r="H62" s="18"/>
      <c r="I62" s="18"/>
    </row>
    <row r="63" spans="1:9" x14ac:dyDescent="0.2">
      <c r="A63" s="10" t="s">
        <v>111</v>
      </c>
      <c r="B63" s="12"/>
      <c r="C63" s="13"/>
      <c r="D63" s="13"/>
      <c r="E63" s="13"/>
      <c r="F63" s="18"/>
      <c r="G63" s="18"/>
      <c r="H63" s="18"/>
      <c r="I63" s="18"/>
    </row>
    <row r="64" spans="1:9" x14ac:dyDescent="0.2">
      <c r="A64" s="10" t="s">
        <v>112</v>
      </c>
      <c r="B64" s="12"/>
      <c r="C64" s="13"/>
      <c r="D64" s="13"/>
      <c r="E64" s="13"/>
      <c r="F64" s="18"/>
      <c r="G64" s="18"/>
      <c r="H64" s="18"/>
      <c r="I64" s="18"/>
    </row>
    <row r="65" spans="1:9" x14ac:dyDescent="0.2">
      <c r="A65" s="10" t="s">
        <v>113</v>
      </c>
      <c r="B65" s="10"/>
      <c r="C65" s="10"/>
      <c r="D65" s="10"/>
      <c r="E65" s="10"/>
      <c r="F65" s="10"/>
      <c r="G65" s="10"/>
      <c r="H65" s="10"/>
      <c r="I65" s="10"/>
    </row>
    <row r="66" spans="1:9" x14ac:dyDescent="0.2">
      <c r="A66" s="10" t="s">
        <v>114</v>
      </c>
      <c r="B66" s="10"/>
      <c r="C66" s="10"/>
      <c r="D66" s="10"/>
      <c r="E66" s="10"/>
      <c r="F66" s="10"/>
      <c r="G66" s="10"/>
      <c r="H66" s="10"/>
      <c r="I66" s="10"/>
    </row>
    <row r="67" spans="1:9" x14ac:dyDescent="0.2">
      <c r="A67" s="10" t="s">
        <v>115</v>
      </c>
      <c r="B67" s="10"/>
      <c r="C67" s="10"/>
      <c r="D67" s="10"/>
      <c r="E67" s="10"/>
      <c r="F67" s="10"/>
      <c r="G67" s="10"/>
      <c r="H67" s="10"/>
      <c r="I67" s="10"/>
    </row>
    <row r="68" spans="1:9" x14ac:dyDescent="0.2">
      <c r="A68" s="10" t="s">
        <v>116</v>
      </c>
      <c r="B68" s="10"/>
      <c r="C68" s="10"/>
      <c r="D68" s="10"/>
      <c r="E68" s="10"/>
      <c r="F68" s="10"/>
      <c r="G68" s="10"/>
      <c r="H68" s="10"/>
      <c r="I68" s="10"/>
    </row>
    <row r="69" spans="1:9" ht="0.75" customHeight="1" x14ac:dyDescent="0.2">
      <c r="A69" s="10" t="s">
        <v>117</v>
      </c>
      <c r="B69" s="10"/>
      <c r="C69" s="10"/>
      <c r="D69" s="10"/>
      <c r="E69" s="10"/>
      <c r="F69" s="10"/>
      <c r="G69" s="10"/>
      <c r="H69" s="10"/>
      <c r="I69" s="10"/>
    </row>
    <row r="70" spans="1:9" x14ac:dyDescent="0.2">
      <c r="A70" s="10" t="s">
        <v>118</v>
      </c>
      <c r="B70" s="10"/>
      <c r="C70" s="10"/>
      <c r="D70" s="10"/>
      <c r="E70" s="10"/>
      <c r="F70" s="10"/>
      <c r="G70" s="10"/>
      <c r="H70" s="10"/>
      <c r="I70" s="10"/>
    </row>
    <row r="71" spans="1:9" x14ac:dyDescent="0.2">
      <c r="A71" s="10" t="s">
        <v>119</v>
      </c>
      <c r="B71" s="10"/>
      <c r="C71" s="10"/>
      <c r="D71" s="10"/>
      <c r="E71" s="10"/>
      <c r="F71" s="10"/>
      <c r="G71" s="10"/>
      <c r="H71" s="10"/>
      <c r="I71" s="10"/>
    </row>
    <row r="72" spans="1:9" x14ac:dyDescent="0.2">
      <c r="A72" s="10" t="s">
        <v>120</v>
      </c>
      <c r="B72" s="10"/>
      <c r="C72" s="10"/>
      <c r="D72" s="10"/>
      <c r="E72" s="10"/>
      <c r="F72" s="10"/>
      <c r="G72" s="10"/>
      <c r="H72" s="10"/>
      <c r="I72" s="10"/>
    </row>
    <row r="73" spans="1:9" x14ac:dyDescent="0.2">
      <c r="A73" s="10" t="s">
        <v>121</v>
      </c>
      <c r="B73" s="10"/>
      <c r="C73" s="10"/>
      <c r="D73" s="10"/>
      <c r="E73" s="10"/>
      <c r="F73" s="10"/>
      <c r="G73" s="10"/>
      <c r="H73" s="10"/>
      <c r="I73" s="10"/>
    </row>
    <row r="74" spans="1:9" x14ac:dyDescent="0.2">
      <c r="A74" s="10" t="s">
        <v>122</v>
      </c>
      <c r="B74" s="10"/>
      <c r="C74" s="10"/>
      <c r="D74" s="10"/>
      <c r="E74" s="10"/>
      <c r="F74" s="10"/>
      <c r="G74" s="10"/>
      <c r="H74" s="10"/>
      <c r="I74" s="10"/>
    </row>
    <row r="75" spans="1:9" x14ac:dyDescent="0.2">
      <c r="A75" s="10" t="s">
        <v>123</v>
      </c>
      <c r="B75" s="10"/>
      <c r="C75" s="10"/>
      <c r="D75" s="10"/>
      <c r="E75" s="10"/>
      <c r="F75" s="10"/>
      <c r="G75" s="10"/>
      <c r="H75" s="10"/>
      <c r="I75" s="10"/>
    </row>
    <row r="76" spans="1:9" x14ac:dyDescent="0.2">
      <c r="A76" s="10" t="s">
        <v>124</v>
      </c>
      <c r="B76" s="10"/>
      <c r="C76" s="10"/>
      <c r="D76" s="10"/>
      <c r="E76" s="10"/>
      <c r="F76" s="10"/>
      <c r="G76" s="10"/>
      <c r="H76" s="10"/>
      <c r="I76" s="10"/>
    </row>
    <row r="77" spans="1:9" x14ac:dyDescent="0.2">
      <c r="A77" s="10" t="s">
        <v>125</v>
      </c>
      <c r="B77" s="10"/>
      <c r="C77" s="10"/>
      <c r="D77" s="10"/>
      <c r="E77" s="10"/>
      <c r="F77" s="10"/>
      <c r="G77" s="10"/>
      <c r="H77" s="10"/>
      <c r="I77" s="10"/>
    </row>
    <row r="78" spans="1:9" x14ac:dyDescent="0.2">
      <c r="A78" s="10" t="s">
        <v>126</v>
      </c>
      <c r="B78" s="10"/>
      <c r="C78" s="10"/>
      <c r="D78" s="10"/>
      <c r="E78" s="10"/>
      <c r="F78" s="10"/>
      <c r="G78" s="10"/>
      <c r="H78" s="10"/>
      <c r="I78" s="10"/>
    </row>
    <row r="79" spans="1:9" x14ac:dyDescent="0.2">
      <c r="A79" s="10" t="s">
        <v>127</v>
      </c>
      <c r="B79" s="10"/>
      <c r="C79" s="10"/>
      <c r="D79" s="10"/>
      <c r="E79" s="10"/>
      <c r="F79" s="10"/>
      <c r="G79" s="10"/>
      <c r="H79" s="10"/>
      <c r="I79" s="10"/>
    </row>
    <row r="80" spans="1:9" x14ac:dyDescent="0.2">
      <c r="A80" s="10" t="s">
        <v>128</v>
      </c>
      <c r="B80" s="10"/>
      <c r="C80" s="10"/>
      <c r="D80" s="10"/>
      <c r="E80" s="10"/>
      <c r="F80" s="10"/>
      <c r="G80" s="10"/>
      <c r="H80" s="10"/>
      <c r="I80" s="10"/>
    </row>
    <row r="81" spans="1:9" x14ac:dyDescent="0.2">
      <c r="A81" s="10" t="s">
        <v>129</v>
      </c>
      <c r="B81" s="10"/>
      <c r="C81" s="10"/>
      <c r="D81" s="10"/>
      <c r="E81" s="10"/>
      <c r="F81" s="10"/>
      <c r="G81" s="10"/>
      <c r="H81" s="10"/>
      <c r="I81" s="10"/>
    </row>
    <row r="82" spans="1:9" x14ac:dyDescent="0.2">
      <c r="A82" s="10" t="s">
        <v>130</v>
      </c>
      <c r="B82" s="10"/>
      <c r="C82" s="10"/>
      <c r="D82" s="10"/>
      <c r="E82" s="10"/>
      <c r="F82" s="10"/>
      <c r="G82" s="10"/>
      <c r="H82" s="10"/>
      <c r="I82" s="10"/>
    </row>
    <row r="83" spans="1:9" x14ac:dyDescent="0.2">
      <c r="A83" s="10" t="s">
        <v>131</v>
      </c>
      <c r="B83" s="10"/>
      <c r="C83" s="10"/>
      <c r="D83" s="10"/>
      <c r="E83" s="10"/>
      <c r="F83" s="10"/>
      <c r="G83" s="10"/>
      <c r="H83" s="10"/>
      <c r="I83" s="10"/>
    </row>
    <row r="84" spans="1:9" x14ac:dyDescent="0.2">
      <c r="A84" s="10" t="s">
        <v>132</v>
      </c>
      <c r="B84" s="10"/>
      <c r="C84" s="10"/>
      <c r="D84" s="10"/>
      <c r="E84" s="10"/>
      <c r="F84" s="10"/>
      <c r="G84" s="10"/>
      <c r="H84" s="10"/>
      <c r="I84" s="10"/>
    </row>
    <row r="85" spans="1:9" x14ac:dyDescent="0.2">
      <c r="A85" s="10" t="s">
        <v>133</v>
      </c>
      <c r="B85" s="10"/>
      <c r="C85" s="10"/>
      <c r="D85" s="10"/>
      <c r="E85" s="10"/>
      <c r="F85" s="10"/>
      <c r="G85" s="10"/>
      <c r="H85" s="10"/>
      <c r="I85" s="10"/>
    </row>
  </sheetData>
  <mergeCells count="1">
    <mergeCell ref="F8:H8"/>
  </mergeCells>
  <pageMargins left="0.7" right="0.7" top="0.75" bottom="0.75" header="0.3" footer="0.3"/>
  <pageSetup paperSize="11" orientation="portrait" horizontalDpi="525" verticalDpi="52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General Parameters</vt:lpstr>
      <vt:lpstr>Cells</vt:lpstr>
      <vt:lpstr>MOI</vt:lpstr>
      <vt:lpstr>Virus</vt:lpstr>
      <vt:lpstr>Estimates</vt:lpstr>
      <vt:lpstr>'General Parameters'!Print_Area</vt:lpstr>
    </vt:vector>
  </TitlesOfParts>
  <Company>Max-Planck-Institut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tapia</dc:creator>
  <cp:lastModifiedBy>Lars Pelz</cp:lastModifiedBy>
  <cp:lastPrinted>2018-07-05T13:06:32Z</cp:lastPrinted>
  <dcterms:created xsi:type="dcterms:W3CDTF">2013-11-23T19:11:54Z</dcterms:created>
  <dcterms:modified xsi:type="dcterms:W3CDTF">2021-05-26T12:33:59Z</dcterms:modified>
</cp:coreProperties>
</file>